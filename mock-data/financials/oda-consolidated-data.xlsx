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06"/>
  <workbookPr filterPrivacy="1"/>
  <xr:revisionPtr revIDLastSave="216" documentId="11_E3DE10A0F600EF7E224777807AC0D37771B6543B" xr6:coauthVersionLast="47" xr6:coauthVersionMax="47" xr10:uidLastSave="{FDDDD8F2-C020-4C39-A86E-A15FDBF77DB2}"/>
  <bookViews>
    <workbookView xWindow="0" yWindow="0" windowWidth="0" windowHeight="0" xr2:uid="{00000000-000D-0000-FFFF-FFFF00000000}"/>
  </bookViews>
  <sheets>
    <sheet name="Monthly Financials" sheetId="2" r:id="rId1"/>
    <sheet name="Staff Roster" sheetId="3" r:id="rId2"/>
    <sheet name="Project Portfolio" sheetId="4" r:id="rId3"/>
    <sheet name="Financial Summary" sheetId="5" r:id="rId4"/>
    <sheet name="Project Dashboard" sheetId="6" r:id="rId5"/>
    <sheet name="Sources" sheetId="7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5" l="1"/>
  <c r="B11" i="5"/>
  <c r="F2" i="6"/>
  <c r="F3" i="6"/>
  <c r="F4" i="6"/>
  <c r="F5" i="6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2" i="5"/>
  <c r="B3" i="5"/>
  <c r="B4" i="5"/>
  <c r="B5" i="5"/>
  <c r="B6" i="5"/>
  <c r="B7" i="5"/>
  <c r="B8" i="5"/>
  <c r="B9" i="5"/>
  <c r="B10" i="5"/>
  <c r="B12" i="5"/>
  <c r="B14" i="5"/>
  <c r="E12" i="4"/>
  <c r="H12" i="4"/>
  <c r="I12" i="4"/>
  <c r="J12" i="4"/>
  <c r="K12" i="4"/>
  <c r="N12" i="4"/>
  <c r="O12" i="4"/>
  <c r="P12" i="4"/>
  <c r="L2" i="4"/>
  <c r="M2" i="4"/>
  <c r="L3" i="4"/>
  <c r="M3" i="4"/>
  <c r="L4" i="4"/>
  <c r="M4" i="4"/>
  <c r="L5" i="4"/>
  <c r="M5" i="4"/>
  <c r="L6" i="4"/>
  <c r="M6" i="4"/>
  <c r="L7" i="4"/>
  <c r="M7" i="4"/>
  <c r="L8" i="4"/>
  <c r="M8" i="4"/>
  <c r="L9" i="4"/>
  <c r="M9" i="4"/>
  <c r="L10" i="4"/>
  <c r="M10" i="4"/>
  <c r="L11" i="4"/>
  <c r="M11" i="4"/>
  <c r="B40" i="3"/>
  <c r="B41" i="3"/>
  <c r="B42" i="3"/>
  <c r="I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B18" i="2"/>
  <c r="C18" i="2"/>
  <c r="E18" i="2"/>
  <c r="F18" i="2"/>
  <c r="G18" i="2"/>
  <c r="H18" i="2"/>
  <c r="I18" i="2"/>
  <c r="B17" i="2"/>
  <c r="C17" i="2"/>
  <c r="D17" i="2"/>
  <c r="D2" i="2"/>
  <c r="E2" i="2"/>
  <c r="D3" i="2"/>
  <c r="E3" i="2"/>
  <c r="D4" i="2"/>
  <c r="E4" i="2"/>
  <c r="D5" i="2"/>
  <c r="E5" i="2"/>
  <c r="D6" i="2"/>
  <c r="E6" i="2"/>
  <c r="D7" i="2"/>
  <c r="E7" i="2"/>
  <c r="D8" i="2"/>
  <c r="E8" i="2"/>
  <c r="D9" i="2"/>
  <c r="E9" i="2"/>
  <c r="D10" i="2"/>
  <c r="E10" i="2"/>
  <c r="D11" i="2"/>
  <c r="E11" i="2"/>
  <c r="D12" i="2"/>
  <c r="E12" i="2"/>
  <c r="D13" i="2"/>
  <c r="E13" i="2"/>
  <c r="D14" i="2"/>
  <c r="E14" i="2"/>
  <c r="D15" i="2"/>
  <c r="E15" i="2"/>
  <c r="D16" i="2"/>
  <c r="E16" i="2"/>
</calcChain>
</file>

<file path=xl/sharedStrings.xml><?xml version="1.0" encoding="utf-8"?>
<sst xmlns="http://schemas.openxmlformats.org/spreadsheetml/2006/main" count="465" uniqueCount="321">
  <si>
    <t>Month</t>
  </si>
  <si>
    <t>Revenue</t>
  </si>
  <si>
    <t>Expenses</t>
  </si>
  <si>
    <t>Net Profit</t>
  </si>
  <si>
    <t>Profit Margin</t>
  </si>
  <si>
    <t>Projects Active</t>
  </si>
  <si>
    <t>New Commissions</t>
  </si>
  <si>
    <t>Staff Count</t>
  </si>
  <si>
    <t>Utilization Rate</t>
  </si>
  <si>
    <t>TOTALS</t>
  </si>
  <si>
    <t>AVERAGES</t>
  </si>
  <si>
    <t>Name</t>
  </si>
  <si>
    <t>Department</t>
  </si>
  <si>
    <t>Role</t>
  </si>
  <si>
    <t>Location</t>
  </si>
  <si>
    <t>Current Project</t>
  </si>
  <si>
    <t>Allocation Pct</t>
  </si>
  <si>
    <t>Billable Hours This Month</t>
  </si>
  <si>
    <t>Utilization Target</t>
  </si>
  <si>
    <t>Utilization Gap</t>
  </si>
  <si>
    <t>Skills</t>
  </si>
  <si>
    <t>Availability Next Month</t>
  </si>
  <si>
    <t>Start Date</t>
  </si>
  <si>
    <t>Notes</t>
  </si>
  <si>
    <t>Eran Chen</t>
  </si>
  <si>
    <t>Executive</t>
  </si>
  <si>
    <t>Managing Principal</t>
  </si>
  <si>
    <t>New York</t>
  </si>
  <si>
    <t>Firm-wide / The Mira Hotel</t>
  </si>
  <si>
    <t>Leadership; Client Relations; Design Direction</t>
  </si>
  <si>
    <t>Available for new project oversight</t>
  </si>
  <si>
    <t>Splitting time across Mira Hotel pitch and firm management</t>
  </si>
  <si>
    <t>Nile Lichtenstein</t>
  </si>
  <si>
    <t>Principal</t>
  </si>
  <si>
    <t>Shore Club Residences</t>
  </si>
  <si>
    <t>Leadership; Design Review; Client Relations</t>
  </si>
  <si>
    <t>Limited - Shore Club CD push</t>
  </si>
  <si>
    <t>Leading Shore Club design vision through CD phase</t>
  </si>
  <si>
    <t>Megumi Takata</t>
  </si>
  <si>
    <t>Chief Operating Officer</t>
  </si>
  <si>
    <t>Operations</t>
  </si>
  <si>
    <t>Operations; Finance; HR Oversight</t>
  </si>
  <si>
    <t>Available</t>
  </si>
  <si>
    <t>Operational oversight; not project-billable</t>
  </si>
  <si>
    <t>Akshay Mehra</t>
  </si>
  <si>
    <t>Architecture</t>
  </si>
  <si>
    <t>Project Architect</t>
  </si>
  <si>
    <t>Revit; Bluebeam; Permit Coordination; Consultant Mgmt</t>
  </si>
  <si>
    <t>Unavailable - Shore Club CD deadline</t>
  </si>
  <si>
    <t>OVERALLOCATED: working nights to meet 50% CD issuance</t>
  </si>
  <si>
    <t>Yinxing Liu</t>
  </si>
  <si>
    <t>Design Team Lead</t>
  </si>
  <si>
    <t>Upstate Condo</t>
  </si>
  <si>
    <t>Revit; Rhino; Team Management; Design Review</t>
  </si>
  <si>
    <t>Partially available after DD milestone</t>
  </si>
  <si>
    <t>Also training junior staff on Revit workflows</t>
  </si>
  <si>
    <t>Carlos Rivera</t>
  </si>
  <si>
    <t>Senior Designer</t>
  </si>
  <si>
    <t>Fort Lauderdale</t>
  </si>
  <si>
    <t>Rhino; AutoCAD; SketchUp; Facade Design</t>
  </si>
  <si>
    <t>Limited - CD phase</t>
  </si>
  <si>
    <t>Supporting facade documentation for Shore Club</t>
  </si>
  <si>
    <t>Priya Narayanan</t>
  </si>
  <si>
    <t>BIM Manager</t>
  </si>
  <si>
    <t>Mayflower / Shore Club</t>
  </si>
  <si>
    <t>Revit; BIM 360; Navisworks; Clash Detection</t>
  </si>
  <si>
    <t>Unavailable</t>
  </si>
  <si>
    <t>OVERALLOCATED: split across two CD-phase projects</t>
  </si>
  <si>
    <t>Sarah Kim</t>
  </si>
  <si>
    <t>Interior Designer</t>
  </si>
  <si>
    <t>Shore Club Residences / Riverside Tower</t>
  </si>
  <si>
    <t>Interior Design; InDesign; Photoshop; Material Selection</t>
  </si>
  <si>
    <t>Limited</t>
  </si>
  <si>
    <t>Interiors for Shore Club units and Riverside amenity spaces</t>
  </si>
  <si>
    <t>David Okonkwo</t>
  </si>
  <si>
    <t>Project Manager</t>
  </si>
  <si>
    <t>Project Management; Scheduling; Budget Tracking</t>
  </si>
  <si>
    <t>Managing Shore Club construction admin coordination</t>
  </si>
  <si>
    <t>Hannah Bergstrom</t>
  </si>
  <si>
    <t>Junior Designer</t>
  </si>
  <si>
    <t>Riverside Tower</t>
  </si>
  <si>
    <t>Rhino; Grasshopper; SketchUp; Visualization</t>
  </si>
  <si>
    <t>Available 20%</t>
  </si>
  <si>
    <t>Supporting DD drawings for Riverside Tower</t>
  </si>
  <si>
    <t>Marco Vitale</t>
  </si>
  <si>
    <t>Facade Consultant</t>
  </si>
  <si>
    <t>Remote</t>
  </si>
  <si>
    <t>Shore Club / Mayflower</t>
  </si>
  <si>
    <t>Facade Engineering; Waterproofing; Thermal Analysis</t>
  </si>
  <si>
    <t>Reviewing facade details across two active CD sets</t>
  </si>
  <si>
    <t>Aisha Patel</t>
  </si>
  <si>
    <t>Sustainability Lead</t>
  </si>
  <si>
    <t>Jersey City Waterfront Tower</t>
  </si>
  <si>
    <t>LEED; Energy Modeling; Sustainability Reporting</t>
  </si>
  <si>
    <t>Available 40% for new SD project</t>
  </si>
  <si>
    <t>Early-stage sustainability framework for Jersey City</t>
  </si>
  <si>
    <t>Tomoko Endo</t>
  </si>
  <si>
    <t>Urban Planner</t>
  </si>
  <si>
    <t>Urban Planning; Zoning Analysis; Site Planning</t>
  </si>
  <si>
    <t>Available 25%</t>
  </si>
  <si>
    <t>Site planning and zoning research for Jersey City SD</t>
  </si>
  <si>
    <t>Thanhthao Le</t>
  </si>
  <si>
    <t>Associate Team Leader</t>
  </si>
  <si>
    <t>The Mira Hotel &amp; Residences</t>
  </si>
  <si>
    <t>Visualization; Rhino; InDesign; Presentation Production</t>
  </si>
  <si>
    <t>Limited - competition deadline</t>
  </si>
  <si>
    <t>Leading concept visualization for Dubai hospitality project</t>
  </si>
  <si>
    <t>Keith Sagliocca</t>
  </si>
  <si>
    <t>Team Leader</t>
  </si>
  <si>
    <t>Mayflower</t>
  </si>
  <si>
    <t>Bluebeam; Excel; Code Compliance; Consultant Coordination</t>
  </si>
  <si>
    <t>Unavailable - CD deadline</t>
  </si>
  <si>
    <t>Coordinating Mayflower CD with city review submission</t>
  </si>
  <si>
    <t>Michael Unsicker</t>
  </si>
  <si>
    <t>The Mira Hotel / Hoboken Residential</t>
  </si>
  <si>
    <t>Client Relations; Budgets; Scheduling; Excel</t>
  </si>
  <si>
    <t>Available 30%</t>
  </si>
  <si>
    <t>Overseeing Mira Hotel concept and Hoboken DD</t>
  </si>
  <si>
    <t>Joseph Kim</t>
  </si>
  <si>
    <t>Architect</t>
  </si>
  <si>
    <t>Jersey City Waterfront Tower / Competitions</t>
  </si>
  <si>
    <t>Rhino; Claude; Grasshopper; Site Analysis; Visualization</t>
  </si>
  <si>
    <t>SD design and competition research</t>
  </si>
  <si>
    <t>John Silver</t>
  </si>
  <si>
    <t>Designer</t>
  </si>
  <si>
    <t>Revit; AutoCAD; SketchUp; Rhino; BIM 360</t>
  </si>
  <si>
    <t>Producing sections and 3D model for DD</t>
  </si>
  <si>
    <t>Ryoko Okada</t>
  </si>
  <si>
    <t>Interior</t>
  </si>
  <si>
    <t>Principal Interior</t>
  </si>
  <si>
    <t>Shore Club / Hoboken Residential</t>
  </si>
  <si>
    <t>Bluebeam; Photoshop; InDesign; Interior Specifications</t>
  </si>
  <si>
    <t>Reviewing interior markups across two projects</t>
  </si>
  <si>
    <t>Lily Tran</t>
  </si>
  <si>
    <t>Marketing</t>
  </si>
  <si>
    <t>Marketing Manager</t>
  </si>
  <si>
    <t>Firm-wide</t>
  </si>
  <si>
    <t>InDesign; Photoshop; RFP Assembly; PR Coordination</t>
  </si>
  <si>
    <t>Award season - coordinating AIA and Architizer submissions</t>
  </si>
  <si>
    <t>Derek Washington</t>
  </si>
  <si>
    <t>Graphic Designer</t>
  </si>
  <si>
    <t>InDesign; Illustrator; Photoshop; Presentation Design</t>
  </si>
  <si>
    <t>Building RFP template system</t>
  </si>
  <si>
    <t>Sofia Hernandez</t>
  </si>
  <si>
    <t>Content Strategist</t>
  </si>
  <si>
    <t>Copywriting; Social Media; Website Content</t>
  </si>
  <si>
    <t>Website refresh content development</t>
  </si>
  <si>
    <t>Nina Kovalenko</t>
  </si>
  <si>
    <t>Social Media Coordinator</t>
  </si>
  <si>
    <t>Social Media; Content Calendar; Analytics</t>
  </si>
  <si>
    <t>Managing Instagram and LinkedIn content</t>
  </si>
  <si>
    <t>Thalia Morrison</t>
  </si>
  <si>
    <t>Executive Assistant</t>
  </si>
  <si>
    <t>Executive Support</t>
  </si>
  <si>
    <t>Outlook; Scheduling; Travel Planning; ZoomInfo</t>
  </si>
  <si>
    <t>Supporting Eran Chen - travel season upcoming</t>
  </si>
  <si>
    <t>Robert Flanagan</t>
  </si>
  <si>
    <t>HR</t>
  </si>
  <si>
    <t>HR Director</t>
  </si>
  <si>
    <t>HR Operations</t>
  </si>
  <si>
    <t>Recruiting; Policy; Compliance; Benefits Admin</t>
  </si>
  <si>
    <t>Overseeing onboarding for two new hires in April</t>
  </si>
  <si>
    <t>Jessica Chu</t>
  </si>
  <si>
    <t>Recruiting Coordinator</t>
  </si>
  <si>
    <t>Recruiting; Interview Scheduling; Job Postings</t>
  </si>
  <si>
    <t>Active searches: 2 junior designers + 1 project architect</t>
  </si>
  <si>
    <t>Sam Petrov</t>
  </si>
  <si>
    <t>Office Manager</t>
  </si>
  <si>
    <t>Office Operations</t>
  </si>
  <si>
    <t>Facilities; Vendor Management; Office Systems</t>
  </si>
  <si>
    <t>Coordinating new seating plan for April hires</t>
  </si>
  <si>
    <t>Diana Reyes</t>
  </si>
  <si>
    <t>IT Administrator</t>
  </si>
  <si>
    <t>IT Infrastructure</t>
  </si>
  <si>
    <t>IT Admin; Software Licensing; Server Management</t>
  </si>
  <si>
    <t>Revit license allocation and server maintenance</t>
  </si>
  <si>
    <t>Kevin O'Brien</t>
  </si>
  <si>
    <t>Finance Manager</t>
  </si>
  <si>
    <t>Finance</t>
  </si>
  <si>
    <t>QuickBooks; Excel; Budgeting; Invoicing; Payroll</t>
  </si>
  <si>
    <t>QuickBooks Desktop to Online migration underway</t>
  </si>
  <si>
    <t>Fatima Al-Rashid</t>
  </si>
  <si>
    <t>Procurement Specialist</t>
  </si>
  <si>
    <t>Procurement; Vendor Relations; Material Sourcing</t>
  </si>
  <si>
    <t>Sourcing facade material samples for Shore Club</t>
  </si>
  <si>
    <t>Ben Torres</t>
  </si>
  <si>
    <t>Facilities Coordinator</t>
  </si>
  <si>
    <t>Facilities; Maintenance; Space Planning</t>
  </si>
  <si>
    <t>Updating Illustrator seating chart for new hires</t>
  </si>
  <si>
    <t>OPEN POSITION</t>
  </si>
  <si>
    <t>Rhino; SketchUp; Visualization</t>
  </si>
  <si>
    <t>Start date: May 2026</t>
  </si>
  <si>
    <t>Interviewing candidates - need for DD support</t>
  </si>
  <si>
    <t>TBD</t>
  </si>
  <si>
    <t>Revit; Bluebeam; CD Experience; Permit Coordination</t>
  </si>
  <si>
    <t>Start date: June 2026</t>
  </si>
  <si>
    <t>Need for growing Fort Lauderdale workload</t>
  </si>
  <si>
    <t>Intern</t>
  </si>
  <si>
    <t>Rhino; AutoCAD; Adobe Suite</t>
  </si>
  <si>
    <t>Start date: Summer 2026</t>
  </si>
  <si>
    <t>Summer intern position</t>
  </si>
  <si>
    <t>Junior Marketing Coordinator</t>
  </si>
  <si>
    <t>Social Media; Content Writing; Canva</t>
  </si>
  <si>
    <t>New marketing support role</t>
  </si>
  <si>
    <t>Junior IT Support</t>
  </si>
  <si>
    <t>IT Support; Help Desk; Network Admin</t>
  </si>
  <si>
    <t>Growing IT needs</t>
  </si>
  <si>
    <t>SUMMARY</t>
  </si>
  <si>
    <t>Total Billable Hours</t>
  </si>
  <si>
    <t>Average Allocation</t>
  </si>
  <si>
    <t>Overallocated Staff Count</t>
  </si>
  <si>
    <t>Project Name</t>
  </si>
  <si>
    <t>Typology</t>
  </si>
  <si>
    <t>Phase</t>
  </si>
  <si>
    <t>Contract Fee</t>
  </si>
  <si>
    <t>Fee Method</t>
  </si>
  <si>
    <t>Reimbursable Pct</t>
  </si>
  <si>
    <t>Square Footage</t>
  </si>
  <si>
    <t>Construction Cost Estimate</t>
  </si>
  <si>
    <t>Hours Planned</t>
  </si>
  <si>
    <t>Hours Actual</t>
  </si>
  <si>
    <t>Hours Remaining</t>
  </si>
  <si>
    <t>Hours Variance</t>
  </si>
  <si>
    <t>Staff Assigned</t>
  </si>
  <si>
    <t>Consultant Costs</t>
  </si>
  <si>
    <t>Change Orders</t>
  </si>
  <si>
    <t>Target Completion</t>
  </si>
  <si>
    <t>Residential Condo</t>
  </si>
  <si>
    <t>Fort Lauderdale FL</t>
  </si>
  <si>
    <t>CD</t>
  </si>
  <si>
    <t>Percentage</t>
  </si>
  <si>
    <t>Residential Rental</t>
  </si>
  <si>
    <t>New York NY</t>
  </si>
  <si>
    <t>DD</t>
  </si>
  <si>
    <t>Time &amp; Resources</t>
  </si>
  <si>
    <t>Harbor View Residences</t>
  </si>
  <si>
    <t>Jersey City NJ</t>
  </si>
  <si>
    <t>CA</t>
  </si>
  <si>
    <t>Wynwood Arts Mixed-Use</t>
  </si>
  <si>
    <t>Mixed-Use</t>
  </si>
  <si>
    <t>Miami FL</t>
  </si>
  <si>
    <t>Fixed Fee</t>
  </si>
  <si>
    <t>SD</t>
  </si>
  <si>
    <t>Hoboken Residential</t>
  </si>
  <si>
    <t>Hoboken NJ</t>
  </si>
  <si>
    <t>Hospitality</t>
  </si>
  <si>
    <t>Dubai UAE</t>
  </si>
  <si>
    <t>Hudson Valley NY</t>
  </si>
  <si>
    <t>Fort Lauderdale Cultural Center</t>
  </si>
  <si>
    <t>Cultural</t>
  </si>
  <si>
    <t>Metric</t>
  </si>
  <si>
    <t>Value</t>
  </si>
  <si>
    <t>Total Revenue (15 months)</t>
  </si>
  <si>
    <t>Sum of all monthly revenue</t>
  </si>
  <si>
    <t>Total Expenses (15 months)</t>
  </si>
  <si>
    <t>Sum of all monthly expenses</t>
  </si>
  <si>
    <t>Total Net Profit (15 months)</t>
  </si>
  <si>
    <t>Revenue minus expenses over period</t>
  </si>
  <si>
    <t>Average Monthly Revenue</t>
  </si>
  <si>
    <t>Mean monthly revenue</t>
  </si>
  <si>
    <t>Average Monthly Expenses</t>
  </si>
  <si>
    <t>Mean monthly expenses</t>
  </si>
  <si>
    <t>Average Profit Margin</t>
  </si>
  <si>
    <t>Mean profit margin percentage</t>
  </si>
  <si>
    <t>Highest Revenue Month</t>
  </si>
  <si>
    <t>Peak monthly revenue</t>
  </si>
  <si>
    <t>Lowest Revenue Month</t>
  </si>
  <si>
    <t>Lowest monthly revenue</t>
  </si>
  <si>
    <t>Revenue Volatility</t>
  </si>
  <si>
    <t>Standard deviation of revenue</t>
  </si>
  <si>
    <t>Total Active Projects (Latest)</t>
  </si>
  <si>
    <t>Projects active in Mar 2026</t>
  </si>
  <si>
    <t>Total Commissions (15 months)</t>
  </si>
  <si>
    <t>Total new projects won</t>
  </si>
  <si>
    <t>Current Staff Count</t>
  </si>
  <si>
    <t>Staff headcount as of Mar 2026</t>
  </si>
  <si>
    <t>Average Utilization Rate</t>
  </si>
  <si>
    <t>Mean staff utilization percentage</t>
  </si>
  <si>
    <t>Count</t>
  </si>
  <si>
    <t>Total Portfolio Value</t>
  </si>
  <si>
    <t>Sum of all contract fees</t>
  </si>
  <si>
    <t>Average Contract Fee</t>
  </si>
  <si>
    <t>Mean project fee</t>
  </si>
  <si>
    <t>Largest Project Fee</t>
  </si>
  <si>
    <t>Highest contract value</t>
  </si>
  <si>
    <t>Total Construction Cost</t>
  </si>
  <si>
    <t>Sum of estimated construction costs</t>
  </si>
  <si>
    <t>Total Square Footage</t>
  </si>
  <si>
    <t>Total building area across portfolio</t>
  </si>
  <si>
    <t>Average SF per Project</t>
  </si>
  <si>
    <t>Mean project size</t>
  </si>
  <si>
    <t>Total Hours Planned</t>
  </si>
  <si>
    <t>Budgeted hours across all projects</t>
  </si>
  <si>
    <t>Total Hours Actual</t>
  </si>
  <si>
    <t>Hours spent to date</t>
  </si>
  <si>
    <t>Overall Hours Variance</t>
  </si>
  <si>
    <t>Portfolio-level hours performance</t>
  </si>
  <si>
    <t>Total Staff Assigned</t>
  </si>
  <si>
    <t>Staff allocated to projects</t>
  </si>
  <si>
    <t>Total Consultant Costs</t>
  </si>
  <si>
    <t>External consultant expenses</t>
  </si>
  <si>
    <t>Total Change Orders</t>
  </si>
  <si>
    <t>Change orders issued</t>
  </si>
  <si>
    <t>Projects in SD</t>
  </si>
  <si>
    <t>Schematic Design phase</t>
  </si>
  <si>
    <t>Projects in DD</t>
  </si>
  <si>
    <t>Design Development phase</t>
  </si>
  <si>
    <t>Projects in CD</t>
  </si>
  <si>
    <t>Construction Documents phase</t>
  </si>
  <si>
    <t>Projects in CA</t>
  </si>
  <si>
    <t>Construction Administration phase</t>
  </si>
  <si>
    <t>Projects Over Budget (hours)</t>
  </si>
  <si>
    <t>Projects exceeding planned hours</t>
  </si>
  <si>
    <t>Title</t>
  </si>
  <si>
    <t>URL</t>
  </si>
  <si>
    <t>oda-monthly-financials.csv</t>
  </si>
  <si>
    <t>https://advai-my.sharepoint.com/personal/noam_advas_ai/_layouts/15/Doc.aspx?sourcedoc=%7B0387F033-9C6E-487E-B82C-A8E3E11CBE36%7D&amp;file=oda-monthly-financials.csv&amp;action=default&amp;mobileredirect=true</t>
  </si>
  <si>
    <t>ODA-Resource-Allocation.xlsx</t>
  </si>
  <si>
    <t>https://advai-my.sharepoint.com/personal/noam_advas_ai/_layouts/15/Doc.aspx?sourcedoc=%7B9797469E-5A40-480A-8ECC-138FF42CFE28%7D&amp;file=ODA-Resource-Allocation.xlsx&amp;action=default&amp;mobileredirect=true&amp;DefaultItemOpen=1</t>
  </si>
  <si>
    <t>oda-project-tracking.csv</t>
  </si>
  <si>
    <t>https://advai-my.sharepoint.com/personal/noam_advas_ai/_layouts/15/Doc.aspx?sourcedoc=%7B9105F584-62EA-43BE-AA7D-8315CACC7160%7D&amp;file=oda-project-tracking.csv&amp;action=default&amp;mobileredirect=true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</si>
</sst>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0.0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2" fillId="2" borderId="0" xfId="0" applyFont="1" applyFill="1"/>
    <xf numFmtId="17" fontId="0" fillId="0" borderId="0" xfId="0" applyNumberFormat="1"/>
    <xf numFmtId="164" fontId="0" fillId="0" borderId="0" xfId="0" applyNumberFormat="1"/>
    <xf numFmtId="10" fontId="0" fillId="0" borderId="0" xfId="0" applyNumberFormat="1"/>
    <xf numFmtId="1" fontId="0" fillId="0" borderId="0" xfId="0" applyNumberFormat="1"/>
    <xf numFmtId="164" fontId="1" fillId="0" borderId="0" xfId="0" applyNumberFormat="1" applyFont="1"/>
    <xf numFmtId="10" fontId="1" fillId="0" borderId="0" xfId="0" applyNumberFormat="1" applyFont="1"/>
    <xf numFmtId="165" fontId="1" fillId="0" borderId="0" xfId="0" applyNumberFormat="1" applyFont="1"/>
    <xf numFmtId="0" fontId="2" fillId="3" borderId="0" xfId="0" applyFont="1" applyFill="1"/>
    <xf numFmtId="49" fontId="0" fillId="0" borderId="0" xfId="0" applyNumberFormat="1"/>
    <xf numFmtId="0" fontId="3" fillId="4" borderId="0" xfId="0" applyFont="1" applyFill="1"/>
    <xf numFmtId="3" fontId="0" fillId="0" borderId="0" xfId="0" applyNumberFormat="1"/>
    <xf numFmtId="3" fontId="1" fillId="0" borderId="0" xfId="0" applyNumberFormat="1" applyFont="1"/>
    <xf numFmtId="1" fontId="1" fillId="0" borderId="0" xfId="0" applyNumberFormat="1" applyFont="1"/>
    <xf numFmtId="0" fontId="5" fillId="2" borderId="0" xfId="0" applyFont="1" applyFill="1"/>
    <xf numFmtId="164" fontId="6" fillId="0" borderId="0" xfId="0" applyNumberFormat="1" applyFont="1"/>
    <xf numFmtId="10" fontId="6" fillId="0" borderId="0" xfId="0" applyNumberFormat="1" applyFont="1"/>
    <xf numFmtId="1" fontId="6" fillId="0" borderId="0" xfId="0" applyNumberFormat="1" applyFont="1"/>
    <xf numFmtId="0" fontId="7" fillId="4" borderId="0" xfId="0" applyFont="1" applyFill="1"/>
    <xf numFmtId="3" fontId="6" fillId="0" borderId="0" xfId="0" applyNumberFormat="1" applyFont="1"/>
    <xf numFmtId="0" fontId="4" fillId="5" borderId="0" xfId="0" applyFont="1" applyFill="1"/>
    <xf numFmtId="0" fontId="8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Financial Trends (15 Months)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Financials'!$B$1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'Monthly Financials'!$A$2:$A$16</c:f>
              <c:numCache>
                <c:formatCode>mmm\-yy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'Monthly Financials'!$B$2:$B$16</c:f>
              <c:numCache>
                <c:formatCode>"$"#,##0</c:formatCode>
                <c:ptCount val="15"/>
                <c:pt idx="0">
                  <c:v>425000</c:v>
                </c:pt>
                <c:pt idx="1">
                  <c:v>440000</c:v>
                </c:pt>
                <c:pt idx="2">
                  <c:v>485000</c:v>
                </c:pt>
                <c:pt idx="3">
                  <c:v>520000</c:v>
                </c:pt>
                <c:pt idx="4">
                  <c:v>545000</c:v>
                </c:pt>
                <c:pt idx="5">
                  <c:v>490000</c:v>
                </c:pt>
                <c:pt idx="6">
                  <c:v>430000</c:v>
                </c:pt>
                <c:pt idx="7">
                  <c:v>415000</c:v>
                </c:pt>
                <c:pt idx="8">
                  <c:v>505000</c:v>
                </c:pt>
                <c:pt idx="9">
                  <c:v>570000</c:v>
                </c:pt>
                <c:pt idx="10">
                  <c:v>595000</c:v>
                </c:pt>
                <c:pt idx="11">
                  <c:v>480000</c:v>
                </c:pt>
                <c:pt idx="12">
                  <c:v>510000</c:v>
                </c:pt>
                <c:pt idx="13">
                  <c:v>535000</c:v>
                </c:pt>
                <c:pt idx="14">
                  <c:v>560000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20-464F-B51B-D4C36B3DBBB5}"/>
            </c:ext>
          </c:extLst>
        </c:ser>
        <c:ser>
          <c:idx val="1"/>
          <c:order val="1"/>
          <c:tx>
            <c:strRef>
              <c:f>'Monthly Financials'!$C$1</c:f>
              <c:strCache>
                <c:ptCount val="1"/>
                <c:pt idx="0">
                  <c:v>Expenses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'Monthly Financials'!$A$2:$A$16</c:f>
              <c:numCache>
                <c:formatCode>mmm\-yy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'Monthly Financials'!$C$2:$C$16</c:f>
              <c:numCache>
                <c:formatCode>"$"#,##0</c:formatCode>
                <c:ptCount val="15"/>
                <c:pt idx="0">
                  <c:v>375000</c:v>
                </c:pt>
                <c:pt idx="1">
                  <c:v>380000</c:v>
                </c:pt>
                <c:pt idx="2">
                  <c:v>395000</c:v>
                </c:pt>
                <c:pt idx="3">
                  <c:v>410000</c:v>
                </c:pt>
                <c:pt idx="4">
                  <c:v>425000</c:v>
                </c:pt>
                <c:pt idx="5">
                  <c:v>415000</c:v>
                </c:pt>
                <c:pt idx="6">
                  <c:v>390000</c:v>
                </c:pt>
                <c:pt idx="7">
                  <c:v>385000</c:v>
                </c:pt>
                <c:pt idx="8">
                  <c:v>405000</c:v>
                </c:pt>
                <c:pt idx="9">
                  <c:v>440000</c:v>
                </c:pt>
                <c:pt idx="10">
                  <c:v>465000</c:v>
                </c:pt>
                <c:pt idx="11">
                  <c:v>420000</c:v>
                </c:pt>
                <c:pt idx="12">
                  <c:v>430000</c:v>
                </c:pt>
                <c:pt idx="13">
                  <c:v>440000</c:v>
                </c:pt>
                <c:pt idx="14">
                  <c:v>450000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F20-464F-B51B-D4C36B3DBBB5}"/>
            </c:ext>
          </c:extLst>
        </c:ser>
        <c:ser>
          <c:idx val="2"/>
          <c:order val="2"/>
          <c:tx>
            <c:strRef>
              <c:f>'Monthly Financials'!$D$1</c:f>
              <c:strCache>
                <c:ptCount val="1"/>
                <c:pt idx="0">
                  <c:v>Net 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'Monthly Financials'!$A$2:$A$16</c:f>
              <c:numCache>
                <c:formatCode>mmm\-yy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'Monthly Financials'!$D$2:$D$16</c:f>
              <c:numCache>
                <c:formatCode>"$"#,##0</c:formatCode>
                <c:ptCount val="15"/>
                <c:pt idx="0">
                  <c:v>50000</c:v>
                </c:pt>
                <c:pt idx="1">
                  <c:v>60000</c:v>
                </c:pt>
                <c:pt idx="2">
                  <c:v>90000</c:v>
                </c:pt>
                <c:pt idx="3">
                  <c:v>110000</c:v>
                </c:pt>
                <c:pt idx="4">
                  <c:v>120000</c:v>
                </c:pt>
                <c:pt idx="5">
                  <c:v>75000</c:v>
                </c:pt>
                <c:pt idx="6">
                  <c:v>40000</c:v>
                </c:pt>
                <c:pt idx="7">
                  <c:v>30000</c:v>
                </c:pt>
                <c:pt idx="8">
                  <c:v>100000</c:v>
                </c:pt>
                <c:pt idx="9">
                  <c:v>130000</c:v>
                </c:pt>
                <c:pt idx="10">
                  <c:v>130000</c:v>
                </c:pt>
                <c:pt idx="11">
                  <c:v>60000</c:v>
                </c:pt>
                <c:pt idx="12">
                  <c:v>80000</c:v>
                </c:pt>
                <c:pt idx="13">
                  <c:v>95000</c:v>
                </c:pt>
                <c:pt idx="14">
                  <c:v>110000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F20-464F-B51B-D4C36B3DBB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1013511"/>
        <c:axId val="1421015559"/>
      </c:lineChart>
      <c:dateAx>
        <c:axId val="142101351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1015559"/>
        <c:crosses val="autoZero"/>
        <c:auto val="1"/>
        <c:lblOffset val="100"/>
        <c:baseTimeUnit val="months"/>
      </c:dateAx>
      <c:valAx>
        <c:axId val="1421015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1013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Contract Fees by Project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'Project Portfolio'!$E$1</c:f>
              <c:strCache>
                <c:ptCount val="1"/>
                <c:pt idx="0">
                  <c:v>Contract Fee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'Project Portfolio'!$A$2:$D$11</c:f>
              <c:multiLvlStrCache>
                <c:ptCount val="10"/>
                <c:lvl>
                  <c:pt idx="0">
                    <c:v>CD</c:v>
                  </c:pt>
                  <c:pt idx="1">
                    <c:v>DD</c:v>
                  </c:pt>
                  <c:pt idx="2">
                    <c:v>CA</c:v>
                  </c:pt>
                  <c:pt idx="3">
                    <c:v>CA</c:v>
                  </c:pt>
                  <c:pt idx="4">
                    <c:v>SD</c:v>
                  </c:pt>
                  <c:pt idx="5">
                    <c:v>DD</c:v>
                  </c:pt>
                  <c:pt idx="6">
                    <c:v>SD</c:v>
                  </c:pt>
                  <c:pt idx="7">
                    <c:v>DD</c:v>
                  </c:pt>
                  <c:pt idx="8">
                    <c:v>CA</c:v>
                  </c:pt>
                  <c:pt idx="9">
                    <c:v>CD</c:v>
                  </c:pt>
                </c:lvl>
                <c:lvl>
                  <c:pt idx="0">
                    <c:v>Fort Lauderdale FL</c:v>
                  </c:pt>
                  <c:pt idx="1">
                    <c:v>New York NY</c:v>
                  </c:pt>
                  <c:pt idx="2">
                    <c:v>Jersey City NJ</c:v>
                  </c:pt>
                  <c:pt idx="3">
                    <c:v>Miami FL</c:v>
                  </c:pt>
                  <c:pt idx="4">
                    <c:v>Jersey City NJ</c:v>
                  </c:pt>
                  <c:pt idx="5">
                    <c:v>Hoboken NJ</c:v>
                  </c:pt>
                  <c:pt idx="6">
                    <c:v>Dubai UAE</c:v>
                  </c:pt>
                  <c:pt idx="7">
                    <c:v>Hudson Valley NY</c:v>
                  </c:pt>
                  <c:pt idx="8">
                    <c:v>Fort Lauderdale FL</c:v>
                  </c:pt>
                  <c:pt idx="9">
                    <c:v>New York NY</c:v>
                  </c:pt>
                </c:lvl>
                <c:lvl>
                  <c:pt idx="0">
                    <c:v>Residential Condo</c:v>
                  </c:pt>
                  <c:pt idx="1">
                    <c:v>Residential Rental</c:v>
                  </c:pt>
                  <c:pt idx="2">
                    <c:v>Residential Condo</c:v>
                  </c:pt>
                  <c:pt idx="3">
                    <c:v>Mixed-Use</c:v>
                  </c:pt>
                  <c:pt idx="4">
                    <c:v>Residential Condo</c:v>
                  </c:pt>
                  <c:pt idx="5">
                    <c:v>Residential Rental</c:v>
                  </c:pt>
                  <c:pt idx="6">
                    <c:v>Hospitality</c:v>
                  </c:pt>
                  <c:pt idx="7">
                    <c:v>Residential Condo</c:v>
                  </c:pt>
                  <c:pt idx="8">
                    <c:v>Cultural</c:v>
                  </c:pt>
                  <c:pt idx="9">
                    <c:v>Residential Condo</c:v>
                  </c:pt>
                </c:lvl>
                <c:lvl>
                  <c:pt idx="0">
                    <c:v>Shore Club Residences</c:v>
                  </c:pt>
                  <c:pt idx="1">
                    <c:v>Riverside Tower</c:v>
                  </c:pt>
                  <c:pt idx="2">
                    <c:v>Harbor View Residences</c:v>
                  </c:pt>
                  <c:pt idx="3">
                    <c:v>Wynwood Arts Mixed-Use</c:v>
                  </c:pt>
                  <c:pt idx="4">
                    <c:v>Jersey City Waterfront Tower</c:v>
                  </c:pt>
                  <c:pt idx="5">
                    <c:v>Hoboken Residential</c:v>
                  </c:pt>
                  <c:pt idx="6">
                    <c:v>The Mira Hotel &amp; Residences</c:v>
                  </c:pt>
                  <c:pt idx="7">
                    <c:v>Upstate Condo</c:v>
                  </c:pt>
                  <c:pt idx="8">
                    <c:v>Fort Lauderdale Cultural Center</c:v>
                  </c:pt>
                  <c:pt idx="9">
                    <c:v>Mayflower</c:v>
                  </c:pt>
                </c:lvl>
              </c:multiLvlStrCache>
            </c:multiLvlStrRef>
          </c:cat>
          <c:val>
            <c:numRef>
              <c:f>'Project Portfolio'!$E$2:$E$11</c:f>
              <c:numCache>
                <c:formatCode>"$"#,##0</c:formatCode>
                <c:ptCount val="10"/>
                <c:pt idx="0">
                  <c:v>4200000</c:v>
                </c:pt>
                <c:pt idx="1">
                  <c:v>3100000</c:v>
                </c:pt>
                <c:pt idx="2">
                  <c:v>2800000</c:v>
                </c:pt>
                <c:pt idx="3">
                  <c:v>3500000</c:v>
                </c:pt>
                <c:pt idx="4">
                  <c:v>2400000</c:v>
                </c:pt>
                <c:pt idx="5">
                  <c:v>1800000</c:v>
                </c:pt>
                <c:pt idx="6">
                  <c:v>5600000</c:v>
                </c:pt>
                <c:pt idx="7">
                  <c:v>1950000</c:v>
                </c:pt>
                <c:pt idx="8">
                  <c:v>2200000</c:v>
                </c:pt>
                <c:pt idx="9">
                  <c:v>3800000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D6-4018-8DD2-FEB541BF5E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52439303"/>
        <c:axId val="1152441351"/>
      </c:barChart>
      <c:catAx>
        <c:axId val="11524393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441351"/>
        <c:crosses val="autoZero"/>
        <c:auto val="1"/>
        <c:lblAlgn val="ctr"/>
        <c:lblOffset val="100"/>
        <c:noMultiLvlLbl val="0"/>
      </c:catAx>
      <c:valAx>
        <c:axId val="1152441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439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Project Distribution by Phase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'Project Dashboard'!$F$1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805-45A8-8E47-A6886B2F225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805-45A8-8E47-A6886B2F225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805-45A8-8E47-A6886B2F225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805-45A8-8E47-A6886B2F225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'Project Dashboard'!$E$2:$E$5</c:f>
              <c:strCache>
                <c:ptCount val="4"/>
                <c:pt idx="0">
                  <c:v>SD</c:v>
                </c:pt>
                <c:pt idx="1">
                  <c:v>DD</c:v>
                </c:pt>
                <c:pt idx="2">
                  <c:v>CD</c:v>
                </c:pt>
                <c:pt idx="3">
                  <c:v>CA</c:v>
                </c:pt>
              </c:strCache>
            </c:strRef>
          </c:cat>
          <c:val>
            <c:numRef>
              <c:f>'Project Dashboard'!$F$2:$F$5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8D-48BC-941F-DD73648123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57150</xdr:rowOff>
    </xdr:from>
    <xdr:to>
      <xdr:col>4</xdr:col>
      <xdr:colOff>1133475</xdr:colOff>
      <xdr:row>43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938219-2922-481A-3BF4-A305E14FEC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57150</xdr:rowOff>
    </xdr:from>
    <xdr:to>
      <xdr:col>3</xdr:col>
      <xdr:colOff>238125</xdr:colOff>
      <xdr:row>37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4E8D67-2C01-2EED-43DA-C3DFCA6DB3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57150</xdr:rowOff>
    </xdr:from>
    <xdr:to>
      <xdr:col>2</xdr:col>
      <xdr:colOff>247650</xdr:colOff>
      <xdr:row>42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80F276-3161-ABFB-19E4-FBD87BD060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advai-my.sharepoint.com/personal/noam_advas_ai/_layouts/15/Doc.aspx?sourcedoc=%7B9105F584-62EA-43BE-AA7D-8315CACC7160%7D&amp;file=oda-project-tracking.csv&amp;action=default&amp;mobileredirect=true" TargetMode="External"/><Relationship Id="rId2" Type="http://schemas.openxmlformats.org/officeDocument/2006/relationships/hyperlink" Target="https://advai-my.sharepoint.com/personal/noam_advas_ai/_layouts/15/Doc.aspx?sourcedoc=%7B9797469E-5A40-480A-8ECC-138FF42CFE28%7D&amp;file=ODA-Resource-Allocation.xlsx&amp;action=default&amp;mobileredirect=true&amp;DefaultItemOpen=1" TargetMode="External"/><Relationship Id="rId1" Type="http://schemas.openxmlformats.org/officeDocument/2006/relationships/hyperlink" Target="https://advai-my.sharepoint.com/personal/noam_advas_ai/_layouts/15/Doc.aspx?sourcedoc=%7B0387F033-9C6E-487E-B82C-A8E3E11CBE36%7D&amp;file=oda-monthly-financials.csv&amp;action=default&amp;mobileredirect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BC0D5-BF26-49C7-97AF-421D6953C479}">
  <dimension ref="A1:I18"/>
  <sheetViews>
    <sheetView tabSelected="1" workbookViewId="0"/>
  </sheetViews>
  <sheetFormatPr defaultRowHeight="15"/>
  <cols>
    <col min="1" max="1" width="19" customWidth="1"/>
    <col min="2" max="4" width="21" customWidth="1"/>
    <col min="5" max="5" width="19" customWidth="1"/>
    <col min="6" max="8" width="21" customWidth="1"/>
    <col min="9" max="9" width="22.85546875" customWidth="1"/>
  </cols>
  <sheetData>
    <row r="1" spans="1:9" ht="15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3">
        <v>45658</v>
      </c>
      <c r="B2" s="4">
        <v>425000</v>
      </c>
      <c r="C2" s="4">
        <v>375000</v>
      </c>
      <c r="D2" s="4">
        <f>B2-C2</f>
        <v>50000</v>
      </c>
      <c r="E2" s="5">
        <f>D2/B2</f>
        <v>0.11764705882352941</v>
      </c>
      <c r="F2" s="6">
        <v>9</v>
      </c>
      <c r="G2" s="6">
        <v>2</v>
      </c>
      <c r="H2" s="6">
        <v>24</v>
      </c>
      <c r="I2" s="5">
        <v>0.72</v>
      </c>
    </row>
    <row r="3" spans="1:9">
      <c r="A3" s="3">
        <v>45689</v>
      </c>
      <c r="B3" s="4">
        <v>440000</v>
      </c>
      <c r="C3" s="4">
        <v>380000</v>
      </c>
      <c r="D3" s="4">
        <f>B3-C3</f>
        <v>60000</v>
      </c>
      <c r="E3" s="5">
        <f>D3/B3</f>
        <v>0.13636363636363635</v>
      </c>
      <c r="F3" s="6">
        <v>10</v>
      </c>
      <c r="G3" s="6">
        <v>1</v>
      </c>
      <c r="H3" s="6">
        <v>24</v>
      </c>
      <c r="I3" s="5">
        <v>0.74</v>
      </c>
    </row>
    <row r="4" spans="1:9">
      <c r="A4" s="3">
        <v>45717</v>
      </c>
      <c r="B4" s="4">
        <v>485000</v>
      </c>
      <c r="C4" s="4">
        <v>395000</v>
      </c>
      <c r="D4" s="4">
        <f>B4-C4</f>
        <v>90000</v>
      </c>
      <c r="E4" s="5">
        <f>D4/B4</f>
        <v>0.18556701030927836</v>
      </c>
      <c r="F4" s="6">
        <v>11</v>
      </c>
      <c r="G4" s="6">
        <v>3</v>
      </c>
      <c r="H4" s="6">
        <v>25</v>
      </c>
      <c r="I4" s="5">
        <v>0.78</v>
      </c>
    </row>
    <row r="5" spans="1:9">
      <c r="A5" s="3">
        <v>45748</v>
      </c>
      <c r="B5" s="4">
        <v>520000</v>
      </c>
      <c r="C5" s="4">
        <v>410000</v>
      </c>
      <c r="D5" s="4">
        <f>B5-C5</f>
        <v>110000</v>
      </c>
      <c r="E5" s="5">
        <f>D5/B5</f>
        <v>0.21153846153846154</v>
      </c>
      <c r="F5" s="6">
        <v>12</v>
      </c>
      <c r="G5" s="6">
        <v>2</v>
      </c>
      <c r="H5" s="6">
        <v>25</v>
      </c>
      <c r="I5" s="5">
        <v>0.8</v>
      </c>
    </row>
    <row r="6" spans="1:9">
      <c r="A6" s="3">
        <v>45778</v>
      </c>
      <c r="B6" s="4">
        <v>545000</v>
      </c>
      <c r="C6" s="4">
        <v>425000</v>
      </c>
      <c r="D6" s="4">
        <f>B6-C6</f>
        <v>120000</v>
      </c>
      <c r="E6" s="5">
        <f>D6/B6</f>
        <v>0.22018348623853212</v>
      </c>
      <c r="F6" s="6">
        <v>13</v>
      </c>
      <c r="G6" s="6">
        <v>2</v>
      </c>
      <c r="H6" s="6">
        <v>26</v>
      </c>
      <c r="I6" s="5">
        <v>0.82</v>
      </c>
    </row>
    <row r="7" spans="1:9">
      <c r="A7" s="3">
        <v>45809</v>
      </c>
      <c r="B7" s="4">
        <v>490000</v>
      </c>
      <c r="C7" s="4">
        <v>415000</v>
      </c>
      <c r="D7" s="4">
        <f>B7-C7</f>
        <v>75000</v>
      </c>
      <c r="E7" s="5">
        <f>D7/B7</f>
        <v>0.15306122448979592</v>
      </c>
      <c r="F7" s="6">
        <v>12</v>
      </c>
      <c r="G7" s="6">
        <v>1</v>
      </c>
      <c r="H7" s="6">
        <v>26</v>
      </c>
      <c r="I7" s="5">
        <v>0.75</v>
      </c>
    </row>
    <row r="8" spans="1:9">
      <c r="A8" s="3">
        <v>45839</v>
      </c>
      <c r="B8" s="4">
        <v>430000</v>
      </c>
      <c r="C8" s="4">
        <v>390000</v>
      </c>
      <c r="D8" s="4">
        <f>B8-C8</f>
        <v>40000</v>
      </c>
      <c r="E8" s="5">
        <f>D8/B8</f>
        <v>9.3023255813953487E-2</v>
      </c>
      <c r="F8" s="6">
        <v>10</v>
      </c>
      <c r="G8" s="6">
        <v>0</v>
      </c>
      <c r="H8" s="6">
        <v>25</v>
      </c>
      <c r="I8" s="5">
        <v>0.68</v>
      </c>
    </row>
    <row r="9" spans="1:9">
      <c r="A9" s="3">
        <v>45870</v>
      </c>
      <c r="B9" s="4">
        <v>415000</v>
      </c>
      <c r="C9" s="4">
        <v>385000</v>
      </c>
      <c r="D9" s="4">
        <f>B9-C9</f>
        <v>30000</v>
      </c>
      <c r="E9" s="5">
        <f>D9/B9</f>
        <v>7.2289156626506021E-2</v>
      </c>
      <c r="F9" s="6">
        <v>9</v>
      </c>
      <c r="G9" s="6">
        <v>1</v>
      </c>
      <c r="H9" s="6">
        <v>25</v>
      </c>
      <c r="I9" s="5">
        <v>0.65</v>
      </c>
    </row>
    <row r="10" spans="1:9">
      <c r="A10" s="3">
        <v>45901</v>
      </c>
      <c r="B10" s="4">
        <v>505000</v>
      </c>
      <c r="C10" s="4">
        <v>405000</v>
      </c>
      <c r="D10" s="4">
        <f>B10-C10</f>
        <v>100000</v>
      </c>
      <c r="E10" s="5">
        <f>D10/B10</f>
        <v>0.19801980198019803</v>
      </c>
      <c r="F10" s="6">
        <v>11</v>
      </c>
      <c r="G10" s="6">
        <v>3</v>
      </c>
      <c r="H10" s="6">
        <v>25</v>
      </c>
      <c r="I10" s="5">
        <v>0.79</v>
      </c>
    </row>
    <row r="11" spans="1:9">
      <c r="A11" s="3">
        <v>45931</v>
      </c>
      <c r="B11" s="4">
        <v>570000</v>
      </c>
      <c r="C11" s="4">
        <v>440000</v>
      </c>
      <c r="D11" s="4">
        <f>B11-C11</f>
        <v>130000</v>
      </c>
      <c r="E11" s="5">
        <f>D11/B11</f>
        <v>0.22807017543859648</v>
      </c>
      <c r="F11" s="6">
        <v>14</v>
      </c>
      <c r="G11" s="6">
        <v>3</v>
      </c>
      <c r="H11" s="6">
        <v>26</v>
      </c>
      <c r="I11" s="5">
        <v>0.84</v>
      </c>
    </row>
    <row r="12" spans="1:9">
      <c r="A12" s="3">
        <v>45962</v>
      </c>
      <c r="B12" s="4">
        <v>595000</v>
      </c>
      <c r="C12" s="4">
        <v>465000</v>
      </c>
      <c r="D12" s="4">
        <f>B12-C12</f>
        <v>130000</v>
      </c>
      <c r="E12" s="5">
        <f>D12/B12</f>
        <v>0.21848739495798319</v>
      </c>
      <c r="F12" s="6">
        <v>15</v>
      </c>
      <c r="G12" s="6">
        <v>2</v>
      </c>
      <c r="H12" s="6">
        <v>27</v>
      </c>
      <c r="I12" s="5">
        <v>0.85</v>
      </c>
    </row>
    <row r="13" spans="1:9">
      <c r="A13" s="3">
        <v>45992</v>
      </c>
      <c r="B13" s="4">
        <v>480000</v>
      </c>
      <c r="C13" s="4">
        <v>420000</v>
      </c>
      <c r="D13" s="4">
        <f>B13-C13</f>
        <v>60000</v>
      </c>
      <c r="E13" s="5">
        <f>D13/B13</f>
        <v>0.125</v>
      </c>
      <c r="F13" s="6">
        <v>12</v>
      </c>
      <c r="G13" s="6">
        <v>1</v>
      </c>
      <c r="H13" s="6">
        <v>26</v>
      </c>
      <c r="I13" s="5">
        <v>0.7</v>
      </c>
    </row>
    <row r="14" spans="1:9">
      <c r="A14" s="3">
        <v>46023</v>
      </c>
      <c r="B14" s="4">
        <v>510000</v>
      </c>
      <c r="C14" s="4">
        <v>430000</v>
      </c>
      <c r="D14" s="4">
        <f>B14-C14</f>
        <v>80000</v>
      </c>
      <c r="E14" s="5">
        <f>D14/B14</f>
        <v>0.15686274509803921</v>
      </c>
      <c r="F14" s="6">
        <v>12</v>
      </c>
      <c r="G14" s="6">
        <v>2</v>
      </c>
      <c r="H14" s="6">
        <v>27</v>
      </c>
      <c r="I14" s="5">
        <v>0.76</v>
      </c>
    </row>
    <row r="15" spans="1:9">
      <c r="A15" s="3">
        <v>46054</v>
      </c>
      <c r="B15" s="4">
        <v>535000</v>
      </c>
      <c r="C15" s="4">
        <v>440000</v>
      </c>
      <c r="D15" s="4">
        <f>B15-C15</f>
        <v>95000</v>
      </c>
      <c r="E15" s="5">
        <f>D15/B15</f>
        <v>0.17757009345794392</v>
      </c>
      <c r="F15" s="6">
        <v>13</v>
      </c>
      <c r="G15" s="6">
        <v>1</v>
      </c>
      <c r="H15" s="6">
        <v>27</v>
      </c>
      <c r="I15" s="5">
        <v>0.78</v>
      </c>
    </row>
    <row r="16" spans="1:9">
      <c r="A16" s="3">
        <v>46082</v>
      </c>
      <c r="B16" s="4">
        <v>560000</v>
      </c>
      <c r="C16" s="4">
        <v>450000</v>
      </c>
      <c r="D16" s="4">
        <f>B16-C16</f>
        <v>110000</v>
      </c>
      <c r="E16" s="5">
        <f>D16/B16</f>
        <v>0.19642857142857142</v>
      </c>
      <c r="F16" s="6">
        <v>14</v>
      </c>
      <c r="G16" s="6">
        <v>3</v>
      </c>
      <c r="H16" s="6">
        <v>28</v>
      </c>
      <c r="I16" s="5">
        <v>0.81</v>
      </c>
    </row>
    <row r="17" spans="1:9">
      <c r="A17" s="1" t="s">
        <v>9</v>
      </c>
      <c r="B17" s="7">
        <f>SUM(B2:B16)</f>
        <v>7505000</v>
      </c>
      <c r="C17" s="7">
        <f>SUM(C2:C16)</f>
        <v>6225000</v>
      </c>
      <c r="D17" s="7">
        <f>SUM(D2:D16)</f>
        <v>1280000</v>
      </c>
    </row>
    <row r="18" spans="1:9">
      <c r="A18" s="1" t="s">
        <v>10</v>
      </c>
      <c r="B18" s="7">
        <f>AVERAGE(B2:B16)</f>
        <v>500333.33333333331</v>
      </c>
      <c r="C18" s="7">
        <f>AVERAGE(C2:C16)</f>
        <v>415000</v>
      </c>
      <c r="D18" s="8"/>
      <c r="E18" s="8">
        <f>AVERAGE(E2:E16)</f>
        <v>0.16600747150433504</v>
      </c>
      <c r="F18" s="9">
        <f>AVERAGE(F2:F16)</f>
        <v>11.8</v>
      </c>
      <c r="G18" s="9">
        <f>AVERAGE(G2:G16)</f>
        <v>1.8</v>
      </c>
      <c r="H18" s="9">
        <f>AVERAGE(H2:H16)</f>
        <v>25.733333333333334</v>
      </c>
      <c r="I18" s="8">
        <f>AVERAGE(I2:I16)</f>
        <v>0.76466666666666661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60B85-76E6-42E1-91F0-8439AACEF951}">
  <dimension ref="A1:M42"/>
  <sheetViews>
    <sheetView workbookViewId="0"/>
  </sheetViews>
  <sheetFormatPr defaultRowHeight="15"/>
  <cols>
    <col min="1" max="1" width="28.5703125" customWidth="1"/>
    <col min="2" max="2" width="19" customWidth="1"/>
    <col min="3" max="3" width="28.5703125" customWidth="1"/>
    <col min="4" max="4" width="22.85546875" customWidth="1"/>
    <col min="5" max="5" width="38.140625" customWidth="1"/>
    <col min="6" max="7" width="19" customWidth="1"/>
    <col min="8" max="9" width="21" customWidth="1"/>
    <col min="10" max="10" width="47.5703125" customWidth="1"/>
    <col min="11" max="11" width="38.140625" customWidth="1"/>
    <col min="12" max="12" width="19" customWidth="1"/>
    <col min="13" max="13" width="53.28515625" customWidth="1"/>
  </cols>
  <sheetData>
    <row r="1" spans="1:13" ht="15.75">
      <c r="A1" s="10" t="s">
        <v>11</v>
      </c>
      <c r="B1" s="10" t="s">
        <v>12</v>
      </c>
      <c r="C1" s="10" t="s">
        <v>13</v>
      </c>
      <c r="D1" s="10" t="s">
        <v>14</v>
      </c>
      <c r="E1" s="10" t="s">
        <v>15</v>
      </c>
      <c r="F1" s="10" t="s">
        <v>16</v>
      </c>
      <c r="G1" s="10" t="s">
        <v>17</v>
      </c>
      <c r="H1" s="10" t="s">
        <v>18</v>
      </c>
      <c r="I1" s="10" t="s">
        <v>19</v>
      </c>
      <c r="J1" s="10" t="s">
        <v>20</v>
      </c>
      <c r="K1" s="10" t="s">
        <v>21</v>
      </c>
      <c r="L1" s="10" t="s">
        <v>22</v>
      </c>
      <c r="M1" s="10" t="s">
        <v>23</v>
      </c>
    </row>
    <row r="2" spans="1:13">
      <c r="A2" t="s">
        <v>24</v>
      </c>
      <c r="B2" t="s">
        <v>25</v>
      </c>
      <c r="C2" t="s">
        <v>26</v>
      </c>
      <c r="D2" t="s">
        <v>27</v>
      </c>
      <c r="E2" t="s">
        <v>28</v>
      </c>
      <c r="F2" s="5">
        <v>0.3</v>
      </c>
      <c r="G2" s="6">
        <v>42</v>
      </c>
      <c r="H2" s="5">
        <v>0.5</v>
      </c>
      <c r="I2" s="5">
        <f>IF(G2="","",G2/(160*H2)-1)</f>
        <v>-0.47499999999999998</v>
      </c>
      <c r="J2" t="s">
        <v>29</v>
      </c>
      <c r="K2" t="s">
        <v>30</v>
      </c>
      <c r="L2" s="11">
        <v>39156</v>
      </c>
      <c r="M2" t="s">
        <v>31</v>
      </c>
    </row>
    <row r="3" spans="1:13">
      <c r="A3" t="s">
        <v>32</v>
      </c>
      <c r="B3" t="s">
        <v>25</v>
      </c>
      <c r="C3" t="s">
        <v>33</v>
      </c>
      <c r="D3" t="s">
        <v>27</v>
      </c>
      <c r="E3" t="s">
        <v>34</v>
      </c>
      <c r="F3" s="5">
        <v>0.4</v>
      </c>
      <c r="G3" s="6">
        <v>56</v>
      </c>
      <c r="H3" s="5">
        <v>0.5</v>
      </c>
      <c r="I3" s="5">
        <f>IF(G3="","",G3/(160*H3)-1)</f>
        <v>-0.30000000000000004</v>
      </c>
      <c r="J3" t="s">
        <v>35</v>
      </c>
      <c r="K3" t="s">
        <v>36</v>
      </c>
      <c r="L3" s="11">
        <v>39965</v>
      </c>
      <c r="M3" t="s">
        <v>37</v>
      </c>
    </row>
    <row r="4" spans="1:13">
      <c r="A4" t="s">
        <v>38</v>
      </c>
      <c r="B4" t="s">
        <v>25</v>
      </c>
      <c r="C4" t="s">
        <v>39</v>
      </c>
      <c r="D4" t="s">
        <v>27</v>
      </c>
      <c r="E4" t="s">
        <v>40</v>
      </c>
      <c r="F4" s="5">
        <v>0.1</v>
      </c>
      <c r="G4" s="6">
        <v>14</v>
      </c>
      <c r="H4" s="5">
        <v>0.25</v>
      </c>
      <c r="I4" s="5">
        <f>IF(G4="","",G4/(160*H4)-1)</f>
        <v>-0.65</v>
      </c>
      <c r="J4" t="s">
        <v>41</v>
      </c>
      <c r="K4" t="s">
        <v>42</v>
      </c>
      <c r="L4" s="11">
        <v>40918</v>
      </c>
      <c r="M4" t="s">
        <v>43</v>
      </c>
    </row>
    <row r="5" spans="1:13">
      <c r="A5" t="s">
        <v>44</v>
      </c>
      <c r="B5" t="s">
        <v>45</v>
      </c>
      <c r="C5" t="s">
        <v>46</v>
      </c>
      <c r="D5" t="s">
        <v>27</v>
      </c>
      <c r="E5" t="s">
        <v>34</v>
      </c>
      <c r="F5" s="5">
        <v>1</v>
      </c>
      <c r="G5" s="6">
        <v>148</v>
      </c>
      <c r="H5" s="5">
        <v>0.85</v>
      </c>
      <c r="I5" s="5">
        <f>IF(G5="","",G5/(160*H5)-1)</f>
        <v>8.8235294117646967E-2</v>
      </c>
      <c r="J5" t="s">
        <v>47</v>
      </c>
      <c r="K5" t="s">
        <v>48</v>
      </c>
      <c r="L5" s="11">
        <v>42625</v>
      </c>
      <c r="M5" t="s">
        <v>49</v>
      </c>
    </row>
    <row r="6" spans="1:13">
      <c r="A6" t="s">
        <v>50</v>
      </c>
      <c r="B6" t="s">
        <v>45</v>
      </c>
      <c r="C6" t="s">
        <v>51</v>
      </c>
      <c r="D6" t="s">
        <v>27</v>
      </c>
      <c r="E6" t="s">
        <v>52</v>
      </c>
      <c r="F6" s="5">
        <v>0.9</v>
      </c>
      <c r="G6" s="6">
        <v>126</v>
      </c>
      <c r="H6" s="5">
        <v>0.85</v>
      </c>
      <c r="I6" s="5">
        <f>IF(G6="","",G6/(160*H6)-1)</f>
        <v>-7.3529411764705843E-2</v>
      </c>
      <c r="J6" t="s">
        <v>53</v>
      </c>
      <c r="K6" t="s">
        <v>54</v>
      </c>
      <c r="L6" s="11">
        <v>42114</v>
      </c>
      <c r="M6" t="s">
        <v>55</v>
      </c>
    </row>
    <row r="7" spans="1:13">
      <c r="A7" t="s">
        <v>56</v>
      </c>
      <c r="B7" t="s">
        <v>45</v>
      </c>
      <c r="C7" t="s">
        <v>57</v>
      </c>
      <c r="D7" t="s">
        <v>58</v>
      </c>
      <c r="E7" t="s">
        <v>34</v>
      </c>
      <c r="F7" s="5">
        <v>0.85</v>
      </c>
      <c r="G7" s="6">
        <v>119</v>
      </c>
      <c r="H7" s="5">
        <v>0.85</v>
      </c>
      <c r="I7" s="5">
        <f>IF(G7="","",G7/(160*H7)-1)</f>
        <v>-0.125</v>
      </c>
      <c r="J7" t="s">
        <v>59</v>
      </c>
      <c r="K7" t="s">
        <v>60</v>
      </c>
      <c r="L7" s="11">
        <v>43136</v>
      </c>
      <c r="M7" t="s">
        <v>61</v>
      </c>
    </row>
    <row r="8" spans="1:13">
      <c r="A8" t="s">
        <v>62</v>
      </c>
      <c r="B8" t="s">
        <v>45</v>
      </c>
      <c r="C8" t="s">
        <v>63</v>
      </c>
      <c r="D8" t="s">
        <v>27</v>
      </c>
      <c r="E8" t="s">
        <v>64</v>
      </c>
      <c r="F8" s="5">
        <v>1.1000000000000001</v>
      </c>
      <c r="G8" s="6">
        <v>154</v>
      </c>
      <c r="H8" s="5">
        <v>0.85</v>
      </c>
      <c r="I8" s="5">
        <f>IF(G8="","",G8/(160*H8)-1)</f>
        <v>0.13235294117647056</v>
      </c>
      <c r="J8" t="s">
        <v>65</v>
      </c>
      <c r="K8" t="s">
        <v>66</v>
      </c>
      <c r="L8" s="11">
        <v>43040</v>
      </c>
      <c r="M8" t="s">
        <v>67</v>
      </c>
    </row>
    <row r="9" spans="1:13">
      <c r="A9" t="s">
        <v>68</v>
      </c>
      <c r="B9" t="s">
        <v>45</v>
      </c>
      <c r="C9" t="s">
        <v>69</v>
      </c>
      <c r="D9" t="s">
        <v>27</v>
      </c>
      <c r="E9" t="s">
        <v>70</v>
      </c>
      <c r="F9" s="5">
        <v>0.95</v>
      </c>
      <c r="G9" s="6">
        <v>133</v>
      </c>
      <c r="H9" s="5">
        <v>0.85</v>
      </c>
      <c r="I9" s="5">
        <f>IF(G9="","",G9/(160*H9)-1)</f>
        <v>-2.2058823529411797E-2</v>
      </c>
      <c r="J9" t="s">
        <v>71</v>
      </c>
      <c r="K9" t="s">
        <v>72</v>
      </c>
      <c r="L9" s="11">
        <v>43696</v>
      </c>
      <c r="M9" t="s">
        <v>73</v>
      </c>
    </row>
    <row r="10" spans="1:13">
      <c r="A10" t="s">
        <v>74</v>
      </c>
      <c r="B10" t="s">
        <v>45</v>
      </c>
      <c r="C10" t="s">
        <v>75</v>
      </c>
      <c r="D10" t="s">
        <v>58</v>
      </c>
      <c r="E10" t="s">
        <v>34</v>
      </c>
      <c r="F10" s="5">
        <v>1</v>
      </c>
      <c r="G10" s="6">
        <v>140</v>
      </c>
      <c r="H10" s="5">
        <v>0.85</v>
      </c>
      <c r="I10" s="5">
        <f>IF(G10="","",G10/(160*H10)-1)</f>
        <v>2.9411764705882248E-2</v>
      </c>
      <c r="J10" t="s">
        <v>76</v>
      </c>
      <c r="K10" t="s">
        <v>66</v>
      </c>
      <c r="L10" s="11">
        <v>43843</v>
      </c>
      <c r="M10" t="s">
        <v>77</v>
      </c>
    </row>
    <row r="11" spans="1:13">
      <c r="A11" t="s">
        <v>78</v>
      </c>
      <c r="B11" t="s">
        <v>45</v>
      </c>
      <c r="C11" t="s">
        <v>79</v>
      </c>
      <c r="D11" t="s">
        <v>27</v>
      </c>
      <c r="E11" t="s">
        <v>80</v>
      </c>
      <c r="F11" s="5">
        <v>0.8</v>
      </c>
      <c r="G11" s="6">
        <v>112</v>
      </c>
      <c r="H11" s="5">
        <v>0.85</v>
      </c>
      <c r="I11" s="5">
        <f>IF(G11="","",G11/(160*H11)-1)</f>
        <v>-0.17647058823529416</v>
      </c>
      <c r="J11" t="s">
        <v>81</v>
      </c>
      <c r="K11" t="s">
        <v>82</v>
      </c>
      <c r="L11" s="11">
        <v>45082</v>
      </c>
      <c r="M11" t="s">
        <v>83</v>
      </c>
    </row>
    <row r="12" spans="1:13">
      <c r="A12" t="s">
        <v>84</v>
      </c>
      <c r="B12" t="s">
        <v>45</v>
      </c>
      <c r="C12" t="s">
        <v>85</v>
      </c>
      <c r="D12" t="s">
        <v>86</v>
      </c>
      <c r="E12" t="s">
        <v>87</v>
      </c>
      <c r="F12" s="5">
        <v>1</v>
      </c>
      <c r="G12" s="6">
        <v>140</v>
      </c>
      <c r="H12" s="5">
        <v>0.85</v>
      </c>
      <c r="I12" s="5">
        <f>IF(G12="","",G12/(160*H12)-1)</f>
        <v>2.9411764705882248E-2</v>
      </c>
      <c r="J12" t="s">
        <v>88</v>
      </c>
      <c r="K12" t="s">
        <v>66</v>
      </c>
      <c r="L12" s="11">
        <v>44277</v>
      </c>
      <c r="M12" t="s">
        <v>89</v>
      </c>
    </row>
    <row r="13" spans="1:13">
      <c r="A13" t="s">
        <v>90</v>
      </c>
      <c r="B13" t="s">
        <v>45</v>
      </c>
      <c r="C13" t="s">
        <v>91</v>
      </c>
      <c r="D13" t="s">
        <v>27</v>
      </c>
      <c r="E13" t="s">
        <v>92</v>
      </c>
      <c r="F13" s="5">
        <v>0.6</v>
      </c>
      <c r="G13" s="6">
        <v>84</v>
      </c>
      <c r="H13" s="5">
        <v>0.85</v>
      </c>
      <c r="I13" s="5">
        <f>IF(G13="","",G13/(160*H13)-1)</f>
        <v>-0.38235294117647056</v>
      </c>
      <c r="J13" t="s">
        <v>93</v>
      </c>
      <c r="K13" t="s">
        <v>94</v>
      </c>
      <c r="L13" s="11">
        <v>43599</v>
      </c>
      <c r="M13" t="s">
        <v>95</v>
      </c>
    </row>
    <row r="14" spans="1:13">
      <c r="A14" t="s">
        <v>96</v>
      </c>
      <c r="B14" t="s">
        <v>45</v>
      </c>
      <c r="C14" t="s">
        <v>97</v>
      </c>
      <c r="D14" t="s">
        <v>27</v>
      </c>
      <c r="E14" t="s">
        <v>92</v>
      </c>
      <c r="F14" s="5">
        <v>0.75</v>
      </c>
      <c r="G14" s="6">
        <v>105</v>
      </c>
      <c r="H14" s="5">
        <v>0.85</v>
      </c>
      <c r="I14" s="5">
        <f>IF(G14="","",G14/(160*H14)-1)</f>
        <v>-0.2279411764705882</v>
      </c>
      <c r="J14" t="s">
        <v>98</v>
      </c>
      <c r="K14" t="s">
        <v>99</v>
      </c>
      <c r="L14" s="11">
        <v>44810</v>
      </c>
      <c r="M14" t="s">
        <v>100</v>
      </c>
    </row>
    <row r="15" spans="1:13">
      <c r="A15" t="s">
        <v>101</v>
      </c>
      <c r="B15" t="s">
        <v>45</v>
      </c>
      <c r="C15" t="s">
        <v>102</v>
      </c>
      <c r="D15" t="s">
        <v>27</v>
      </c>
      <c r="E15" t="s">
        <v>103</v>
      </c>
      <c r="F15" s="5">
        <v>0.9</v>
      </c>
      <c r="G15" s="6">
        <v>126</v>
      </c>
      <c r="H15" s="5">
        <v>0.85</v>
      </c>
      <c r="I15" s="5">
        <f>IF(G15="","",G15/(160*H15)-1)</f>
        <v>-7.3529411764705843E-2</v>
      </c>
      <c r="J15" t="s">
        <v>104</v>
      </c>
      <c r="K15" t="s">
        <v>105</v>
      </c>
      <c r="L15" s="11">
        <v>43169</v>
      </c>
      <c r="M15" t="s">
        <v>106</v>
      </c>
    </row>
    <row r="16" spans="1:13">
      <c r="A16" t="s">
        <v>107</v>
      </c>
      <c r="B16" t="s">
        <v>45</v>
      </c>
      <c r="C16" t="s">
        <v>108</v>
      </c>
      <c r="D16" t="s">
        <v>27</v>
      </c>
      <c r="E16" t="s">
        <v>109</v>
      </c>
      <c r="F16" s="5">
        <v>0.95</v>
      </c>
      <c r="G16" s="6">
        <v>133</v>
      </c>
      <c r="H16" s="5">
        <v>0.85</v>
      </c>
      <c r="I16" s="5">
        <f>IF(G16="","",G16/(160*H16)-1)</f>
        <v>-2.2058823529411797E-2</v>
      </c>
      <c r="J16" t="s">
        <v>110</v>
      </c>
      <c r="K16" t="s">
        <v>111</v>
      </c>
      <c r="L16" s="11">
        <v>42969</v>
      </c>
      <c r="M16" t="s">
        <v>112</v>
      </c>
    </row>
    <row r="17" spans="1:13">
      <c r="A17" t="s">
        <v>113</v>
      </c>
      <c r="B17" t="s">
        <v>45</v>
      </c>
      <c r="C17" t="s">
        <v>33</v>
      </c>
      <c r="D17" t="s">
        <v>27</v>
      </c>
      <c r="E17" t="s">
        <v>114</v>
      </c>
      <c r="F17" s="5">
        <v>0.7</v>
      </c>
      <c r="G17" s="6">
        <v>98</v>
      </c>
      <c r="H17" s="5">
        <v>0.6</v>
      </c>
      <c r="I17" s="5">
        <f>IF(G17="","",G17/(160*H17)-1)</f>
        <v>2.0833333333333259E-2</v>
      </c>
      <c r="J17" t="s">
        <v>115</v>
      </c>
      <c r="K17" t="s">
        <v>116</v>
      </c>
      <c r="L17" s="11">
        <v>41760</v>
      </c>
      <c r="M17" t="s">
        <v>117</v>
      </c>
    </row>
    <row r="18" spans="1:13">
      <c r="A18" t="s">
        <v>118</v>
      </c>
      <c r="B18" t="s">
        <v>45</v>
      </c>
      <c r="C18" t="s">
        <v>119</v>
      </c>
      <c r="D18" t="s">
        <v>27</v>
      </c>
      <c r="E18" t="s">
        <v>120</v>
      </c>
      <c r="F18" s="5">
        <v>0.8</v>
      </c>
      <c r="G18" s="6">
        <v>112</v>
      </c>
      <c r="H18" s="5">
        <v>0.85</v>
      </c>
      <c r="I18" s="5">
        <f>IF(G18="","",G18/(160*H18)-1)</f>
        <v>-0.17647058823529416</v>
      </c>
      <c r="J18" t="s">
        <v>121</v>
      </c>
      <c r="K18" t="s">
        <v>82</v>
      </c>
      <c r="L18" s="11">
        <v>43784</v>
      </c>
      <c r="M18" t="s">
        <v>122</v>
      </c>
    </row>
    <row r="19" spans="1:13">
      <c r="A19" t="s">
        <v>123</v>
      </c>
      <c r="B19" t="s">
        <v>45</v>
      </c>
      <c r="C19" t="s">
        <v>124</v>
      </c>
      <c r="D19" t="s">
        <v>27</v>
      </c>
      <c r="E19" t="s">
        <v>80</v>
      </c>
      <c r="F19" s="5">
        <v>0.85</v>
      </c>
      <c r="G19" s="6">
        <v>119</v>
      </c>
      <c r="H19" s="5">
        <v>0.85</v>
      </c>
      <c r="I19" s="5">
        <f>IF(G19="","",G19/(160*H19)-1)</f>
        <v>-0.125</v>
      </c>
      <c r="J19" t="s">
        <v>125</v>
      </c>
      <c r="K19" t="s">
        <v>72</v>
      </c>
      <c r="L19" s="11">
        <v>43983</v>
      </c>
      <c r="M19" t="s">
        <v>126</v>
      </c>
    </row>
    <row r="20" spans="1:13">
      <c r="A20" t="s">
        <v>127</v>
      </c>
      <c r="B20" t="s">
        <v>128</v>
      </c>
      <c r="C20" t="s">
        <v>129</v>
      </c>
      <c r="D20" t="s">
        <v>27</v>
      </c>
      <c r="E20" t="s">
        <v>130</v>
      </c>
      <c r="F20" s="5">
        <v>1</v>
      </c>
      <c r="G20" s="6">
        <v>140</v>
      </c>
      <c r="H20" s="5">
        <v>0.8</v>
      </c>
      <c r="I20" s="5">
        <f>IF(G20="","",G20/(160*H20)-1)</f>
        <v>9.375E-2</v>
      </c>
      <c r="J20" t="s">
        <v>131</v>
      </c>
      <c r="K20" t="s">
        <v>66</v>
      </c>
      <c r="L20" s="11">
        <v>42614</v>
      </c>
      <c r="M20" t="s">
        <v>132</v>
      </c>
    </row>
    <row r="21" spans="1:13">
      <c r="A21" t="s">
        <v>133</v>
      </c>
      <c r="B21" t="s">
        <v>134</v>
      </c>
      <c r="C21" t="s">
        <v>135</v>
      </c>
      <c r="D21" t="s">
        <v>27</v>
      </c>
      <c r="E21" t="s">
        <v>136</v>
      </c>
      <c r="F21" s="5"/>
      <c r="G21" s="6"/>
      <c r="H21" s="5"/>
      <c r="I21" s="5" t="str">
        <f>IF(G21="","",G21/(160*H21)-1)</f>
        <v/>
      </c>
      <c r="J21" t="s">
        <v>137</v>
      </c>
      <c r="K21" t="s">
        <v>42</v>
      </c>
      <c r="L21" s="11">
        <v>44105</v>
      </c>
      <c r="M21" t="s">
        <v>138</v>
      </c>
    </row>
    <row r="22" spans="1:13">
      <c r="A22" t="s">
        <v>139</v>
      </c>
      <c r="B22" t="s">
        <v>134</v>
      </c>
      <c r="C22" t="s">
        <v>140</v>
      </c>
      <c r="D22" t="s">
        <v>86</v>
      </c>
      <c r="E22" t="s">
        <v>136</v>
      </c>
      <c r="F22" s="5"/>
      <c r="G22" s="6"/>
      <c r="H22" s="5"/>
      <c r="I22" s="5" t="str">
        <f>IF(G22="","",G22/(160*H22)-1)</f>
        <v/>
      </c>
      <c r="J22" t="s">
        <v>141</v>
      </c>
      <c r="K22" t="s">
        <v>42</v>
      </c>
      <c r="L22" s="11">
        <v>44389</v>
      </c>
      <c r="M22" t="s">
        <v>142</v>
      </c>
    </row>
    <row r="23" spans="1:13">
      <c r="A23" t="s">
        <v>143</v>
      </c>
      <c r="B23" t="s">
        <v>134</v>
      </c>
      <c r="C23" t="s">
        <v>144</v>
      </c>
      <c r="D23" t="s">
        <v>27</v>
      </c>
      <c r="E23" t="s">
        <v>136</v>
      </c>
      <c r="F23" s="5"/>
      <c r="G23" s="6"/>
      <c r="H23" s="5"/>
      <c r="I23" s="5" t="str">
        <f>IF(G23="","",G23/(160*H23)-1)</f>
        <v/>
      </c>
      <c r="J23" t="s">
        <v>145</v>
      </c>
      <c r="K23" t="s">
        <v>42</v>
      </c>
      <c r="L23" s="11">
        <v>44669</v>
      </c>
      <c r="M23" t="s">
        <v>146</v>
      </c>
    </row>
    <row r="24" spans="1:13">
      <c r="A24" t="s">
        <v>147</v>
      </c>
      <c r="B24" t="s">
        <v>134</v>
      </c>
      <c r="C24" t="s">
        <v>148</v>
      </c>
      <c r="D24" t="s">
        <v>86</v>
      </c>
      <c r="E24" t="s">
        <v>136</v>
      </c>
      <c r="F24" s="5"/>
      <c r="G24" s="6"/>
      <c r="H24" s="5"/>
      <c r="I24" s="5" t="str">
        <f>IF(G24="","",G24/(160*H24)-1)</f>
        <v/>
      </c>
      <c r="J24" t="s">
        <v>149</v>
      </c>
      <c r="K24" t="s">
        <v>42</v>
      </c>
      <c r="L24" s="11">
        <v>44935</v>
      </c>
      <c r="M24" t="s">
        <v>150</v>
      </c>
    </row>
    <row r="25" spans="1:13">
      <c r="A25" t="s">
        <v>151</v>
      </c>
      <c r="B25" t="s">
        <v>25</v>
      </c>
      <c r="C25" t="s">
        <v>152</v>
      </c>
      <c r="D25" t="s">
        <v>27</v>
      </c>
      <c r="E25" t="s">
        <v>153</v>
      </c>
      <c r="F25" s="5"/>
      <c r="G25" s="6"/>
      <c r="H25" s="5"/>
      <c r="I25" s="5" t="str">
        <f>IF(G25="","",G25/(160*H25)-1)</f>
        <v/>
      </c>
      <c r="J25" t="s">
        <v>154</v>
      </c>
      <c r="K25" t="s">
        <v>42</v>
      </c>
      <c r="L25" s="11">
        <v>43276</v>
      </c>
      <c r="M25" t="s">
        <v>155</v>
      </c>
    </row>
    <row r="26" spans="1:13">
      <c r="A26" t="s">
        <v>156</v>
      </c>
      <c r="B26" t="s">
        <v>157</v>
      </c>
      <c r="C26" t="s">
        <v>158</v>
      </c>
      <c r="D26" t="s">
        <v>27</v>
      </c>
      <c r="E26" t="s">
        <v>159</v>
      </c>
      <c r="F26" s="5"/>
      <c r="G26" s="6"/>
      <c r="H26" s="5"/>
      <c r="I26" s="5" t="str">
        <f>IF(G26="","",G26/(160*H26)-1)</f>
        <v/>
      </c>
      <c r="J26" t="s">
        <v>160</v>
      </c>
      <c r="K26" t="s">
        <v>42</v>
      </c>
      <c r="L26" s="11">
        <v>42415</v>
      </c>
      <c r="M26" t="s">
        <v>161</v>
      </c>
    </row>
    <row r="27" spans="1:13">
      <c r="A27" t="s">
        <v>162</v>
      </c>
      <c r="B27" t="s">
        <v>157</v>
      </c>
      <c r="C27" t="s">
        <v>163</v>
      </c>
      <c r="D27" t="s">
        <v>27</v>
      </c>
      <c r="E27" t="s">
        <v>159</v>
      </c>
      <c r="F27" s="5"/>
      <c r="G27" s="6"/>
      <c r="H27" s="5"/>
      <c r="I27" s="5" t="str">
        <f>IF(G27="","",G27/(160*H27)-1)</f>
        <v/>
      </c>
      <c r="J27" t="s">
        <v>164</v>
      </c>
      <c r="K27" t="s">
        <v>42</v>
      </c>
      <c r="L27" s="11">
        <v>44872</v>
      </c>
      <c r="M27" t="s">
        <v>165</v>
      </c>
    </row>
    <row r="28" spans="1:13">
      <c r="A28" t="s">
        <v>166</v>
      </c>
      <c r="B28" t="s">
        <v>40</v>
      </c>
      <c r="C28" t="s">
        <v>167</v>
      </c>
      <c r="D28" t="s">
        <v>27</v>
      </c>
      <c r="E28" t="s">
        <v>168</v>
      </c>
      <c r="F28" s="5"/>
      <c r="G28" s="6"/>
      <c r="H28" s="5"/>
      <c r="I28" s="5" t="str">
        <f>IF(G28="","",G28/(160*H28)-1)</f>
        <v/>
      </c>
      <c r="J28" t="s">
        <v>169</v>
      </c>
      <c r="K28" t="s">
        <v>42</v>
      </c>
      <c r="L28" s="11">
        <v>43535</v>
      </c>
      <c r="M28" t="s">
        <v>170</v>
      </c>
    </row>
    <row r="29" spans="1:13">
      <c r="A29" t="s">
        <v>171</v>
      </c>
      <c r="B29" t="s">
        <v>40</v>
      </c>
      <c r="C29" t="s">
        <v>172</v>
      </c>
      <c r="D29" t="s">
        <v>27</v>
      </c>
      <c r="E29" t="s">
        <v>173</v>
      </c>
      <c r="F29" s="5"/>
      <c r="G29" s="6"/>
      <c r="H29" s="5"/>
      <c r="I29" s="5" t="str">
        <f>IF(G29="","",G29/(160*H29)-1)</f>
        <v/>
      </c>
      <c r="J29" t="s">
        <v>174</v>
      </c>
      <c r="K29" t="s">
        <v>42</v>
      </c>
      <c r="L29" s="11">
        <v>44067</v>
      </c>
      <c r="M29" t="s">
        <v>175</v>
      </c>
    </row>
    <row r="30" spans="1:13">
      <c r="A30" t="s">
        <v>176</v>
      </c>
      <c r="B30" t="s">
        <v>40</v>
      </c>
      <c r="C30" t="s">
        <v>177</v>
      </c>
      <c r="D30" t="s">
        <v>27</v>
      </c>
      <c r="E30" t="s">
        <v>178</v>
      </c>
      <c r="F30" s="5"/>
      <c r="G30" s="6"/>
      <c r="H30" s="5"/>
      <c r="I30" s="5" t="str">
        <f>IF(G30="","",G30/(160*H30)-1)</f>
        <v/>
      </c>
      <c r="J30" t="s">
        <v>179</v>
      </c>
      <c r="K30" t="s">
        <v>42</v>
      </c>
      <c r="L30" s="11">
        <v>42885</v>
      </c>
      <c r="M30" t="s">
        <v>180</v>
      </c>
    </row>
    <row r="31" spans="1:13">
      <c r="A31" t="s">
        <v>181</v>
      </c>
      <c r="B31" t="s">
        <v>40</v>
      </c>
      <c r="C31" t="s">
        <v>182</v>
      </c>
      <c r="D31" t="s">
        <v>58</v>
      </c>
      <c r="E31" t="s">
        <v>34</v>
      </c>
      <c r="F31" s="5"/>
      <c r="G31" s="6"/>
      <c r="H31" s="5"/>
      <c r="I31" s="5" t="str">
        <f>IF(G31="","",G31/(160*H31)-1)</f>
        <v/>
      </c>
      <c r="J31" t="s">
        <v>183</v>
      </c>
      <c r="K31" t="s">
        <v>42</v>
      </c>
      <c r="L31" s="11">
        <v>44487</v>
      </c>
      <c r="M31" t="s">
        <v>184</v>
      </c>
    </row>
    <row r="32" spans="1:13">
      <c r="A32" t="s">
        <v>185</v>
      </c>
      <c r="B32" t="s">
        <v>40</v>
      </c>
      <c r="C32" t="s">
        <v>186</v>
      </c>
      <c r="D32" t="s">
        <v>27</v>
      </c>
      <c r="E32" t="s">
        <v>168</v>
      </c>
      <c r="F32" s="5"/>
      <c r="G32" s="6"/>
      <c r="H32" s="5"/>
      <c r="I32" s="5" t="str">
        <f>IF(G32="","",G32/(160*H32)-1)</f>
        <v/>
      </c>
      <c r="J32" t="s">
        <v>187</v>
      </c>
      <c r="K32" t="s">
        <v>42</v>
      </c>
      <c r="L32" s="11">
        <v>45019</v>
      </c>
      <c r="M32" t="s">
        <v>188</v>
      </c>
    </row>
    <row r="33" spans="1:13">
      <c r="A33" t="s">
        <v>189</v>
      </c>
      <c r="B33" t="s">
        <v>45</v>
      </c>
      <c r="C33" t="s">
        <v>79</v>
      </c>
      <c r="D33" t="s">
        <v>27</v>
      </c>
      <c r="E33" t="s">
        <v>80</v>
      </c>
      <c r="F33" s="5">
        <v>0</v>
      </c>
      <c r="G33" s="6">
        <v>0</v>
      </c>
      <c r="H33" s="5">
        <v>0.85</v>
      </c>
      <c r="I33" s="5">
        <f>IF(G33="","",G33/(160*H33)-1)</f>
        <v>-1</v>
      </c>
      <c r="J33" t="s">
        <v>190</v>
      </c>
      <c r="K33" t="s">
        <v>191</v>
      </c>
      <c r="L33" s="11"/>
      <c r="M33" t="s">
        <v>192</v>
      </c>
    </row>
    <row r="34" spans="1:13">
      <c r="A34" t="s">
        <v>189</v>
      </c>
      <c r="B34" t="s">
        <v>45</v>
      </c>
      <c r="C34" t="s">
        <v>46</v>
      </c>
      <c r="D34" t="s">
        <v>58</v>
      </c>
      <c r="E34" t="s">
        <v>193</v>
      </c>
      <c r="F34" s="5">
        <v>0</v>
      </c>
      <c r="G34" s="6">
        <v>0</v>
      </c>
      <c r="H34" s="5">
        <v>0.85</v>
      </c>
      <c r="I34" s="5">
        <f>IF(G34="","",G34/(160*H34)-1)</f>
        <v>-1</v>
      </c>
      <c r="J34" t="s">
        <v>194</v>
      </c>
      <c r="K34" t="s">
        <v>195</v>
      </c>
      <c r="L34" s="11"/>
      <c r="M34" t="s">
        <v>196</v>
      </c>
    </row>
    <row r="35" spans="1:13">
      <c r="A35" t="s">
        <v>193</v>
      </c>
      <c r="B35" t="s">
        <v>45</v>
      </c>
      <c r="C35" t="s">
        <v>197</v>
      </c>
      <c r="D35" t="s">
        <v>27</v>
      </c>
      <c r="E35" t="s">
        <v>193</v>
      </c>
      <c r="F35" s="5">
        <v>0</v>
      </c>
      <c r="G35" s="6">
        <v>0</v>
      </c>
      <c r="H35" s="5">
        <v>0.5</v>
      </c>
      <c r="I35" s="5">
        <f>IF(G35="","",G35/(160*H35)-1)</f>
        <v>-1</v>
      </c>
      <c r="J35" t="s">
        <v>198</v>
      </c>
      <c r="K35" t="s">
        <v>199</v>
      </c>
      <c r="L35" s="11"/>
      <c r="M35" t="s">
        <v>200</v>
      </c>
    </row>
    <row r="36" spans="1:13">
      <c r="A36" t="s">
        <v>193</v>
      </c>
      <c r="B36" t="s">
        <v>134</v>
      </c>
      <c r="C36" t="s">
        <v>201</v>
      </c>
      <c r="D36" t="s">
        <v>86</v>
      </c>
      <c r="E36" t="s">
        <v>136</v>
      </c>
      <c r="F36" s="5"/>
      <c r="G36" s="6"/>
      <c r="H36" s="5"/>
      <c r="I36" s="5" t="str">
        <f>IF(G36="","",G36/(160*H36)-1)</f>
        <v/>
      </c>
      <c r="J36" t="s">
        <v>202</v>
      </c>
      <c r="K36" t="s">
        <v>42</v>
      </c>
      <c r="L36" s="11">
        <v>46174</v>
      </c>
      <c r="M36" t="s">
        <v>203</v>
      </c>
    </row>
    <row r="37" spans="1:13">
      <c r="A37" t="s">
        <v>193</v>
      </c>
      <c r="B37" t="s">
        <v>40</v>
      </c>
      <c r="C37" t="s">
        <v>204</v>
      </c>
      <c r="D37" t="s">
        <v>27</v>
      </c>
      <c r="E37" t="s">
        <v>173</v>
      </c>
      <c r="F37" s="5"/>
      <c r="G37" s="6"/>
      <c r="H37" s="5"/>
      <c r="I37" s="5" t="str">
        <f>IF(G37="","",G37/(160*H37)-1)</f>
        <v/>
      </c>
      <c r="J37" t="s">
        <v>205</v>
      </c>
      <c r="K37" t="s">
        <v>42</v>
      </c>
      <c r="L37" s="11">
        <v>46204</v>
      </c>
      <c r="M37" t="s">
        <v>206</v>
      </c>
    </row>
    <row r="39" spans="1:13">
      <c r="A39" s="1" t="s">
        <v>207</v>
      </c>
    </row>
    <row r="40" spans="1:13">
      <c r="A40" s="1" t="s">
        <v>208</v>
      </c>
      <c r="B40" s="6">
        <f>SUM(G2:G37)</f>
        <v>2101</v>
      </c>
    </row>
    <row r="41" spans="1:13">
      <c r="A41" s="1" t="s">
        <v>209</v>
      </c>
      <c r="B41" s="5">
        <f>AVERAGE(F2:F37)</f>
        <v>0.67954545454545456</v>
      </c>
    </row>
    <row r="42" spans="1:13">
      <c r="A42" s="1" t="s">
        <v>210</v>
      </c>
      <c r="B42" s="6">
        <f>COUNTIF(F2:F37,"&gt;1")</f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78337-60F6-4E49-BFE4-E3DA19FF7034}">
  <dimension ref="A1:R12"/>
  <sheetViews>
    <sheetView workbookViewId="0"/>
  </sheetViews>
  <sheetFormatPr defaultRowHeight="15"/>
  <cols>
    <col min="1" max="1" width="38.140625" customWidth="1"/>
    <col min="2" max="3" width="26.7109375" customWidth="1"/>
    <col min="4" max="4" width="13.28515625" customWidth="1"/>
    <col min="5" max="5" width="21" customWidth="1"/>
    <col min="6" max="6" width="26.7109375" customWidth="1"/>
    <col min="7" max="9" width="22.85546875" customWidth="1"/>
    <col min="10" max="13" width="21" customWidth="1"/>
    <col min="14" max="14" width="19" customWidth="1"/>
    <col min="15" max="15" width="22.85546875" customWidth="1"/>
    <col min="16" max="16" width="21" customWidth="1"/>
    <col min="17" max="18" width="22.85546875" customWidth="1"/>
  </cols>
  <sheetData>
    <row r="1" spans="1:18" ht="15.75">
      <c r="A1" s="12" t="s">
        <v>211</v>
      </c>
      <c r="B1" s="12" t="s">
        <v>212</v>
      </c>
      <c r="C1" s="12" t="s">
        <v>14</v>
      </c>
      <c r="D1" s="12" t="s">
        <v>213</v>
      </c>
      <c r="E1" s="12" t="s">
        <v>214</v>
      </c>
      <c r="F1" s="12" t="s">
        <v>215</v>
      </c>
      <c r="G1" s="12" t="s">
        <v>216</v>
      </c>
      <c r="H1" s="12" t="s">
        <v>217</v>
      </c>
      <c r="I1" s="12" t="s">
        <v>218</v>
      </c>
      <c r="J1" s="12" t="s">
        <v>219</v>
      </c>
      <c r="K1" s="12" t="s">
        <v>220</v>
      </c>
      <c r="L1" s="12" t="s">
        <v>221</v>
      </c>
      <c r="M1" s="12" t="s">
        <v>222</v>
      </c>
      <c r="N1" s="12" t="s">
        <v>223</v>
      </c>
      <c r="O1" s="12" t="s">
        <v>224</v>
      </c>
      <c r="P1" s="12" t="s">
        <v>225</v>
      </c>
      <c r="Q1" s="12" t="s">
        <v>22</v>
      </c>
      <c r="R1" s="12" t="s">
        <v>226</v>
      </c>
    </row>
    <row r="2" spans="1:18">
      <c r="A2" t="s">
        <v>34</v>
      </c>
      <c r="B2" t="s">
        <v>227</v>
      </c>
      <c r="C2" t="s">
        <v>228</v>
      </c>
      <c r="D2" t="s">
        <v>229</v>
      </c>
      <c r="E2" s="4">
        <v>4200000</v>
      </c>
      <c r="F2" t="s">
        <v>230</v>
      </c>
      <c r="G2" s="5">
        <v>0.12</v>
      </c>
      <c r="H2" s="13">
        <v>385000</v>
      </c>
      <c r="I2" s="4">
        <v>78000000</v>
      </c>
      <c r="J2" s="13">
        <v>28000</v>
      </c>
      <c r="K2" s="13">
        <v>31200</v>
      </c>
      <c r="L2" s="13">
        <f>J2-K2</f>
        <v>-3200</v>
      </c>
      <c r="M2" s="5">
        <f>K2/J2-1</f>
        <v>0.11428571428571432</v>
      </c>
      <c r="N2" s="6">
        <v>8</v>
      </c>
      <c r="O2" s="4">
        <v>1450000</v>
      </c>
      <c r="P2" s="6">
        <v>3</v>
      </c>
      <c r="Q2" s="11">
        <v>45337</v>
      </c>
      <c r="R2" s="11">
        <v>46235</v>
      </c>
    </row>
    <row r="3" spans="1:18">
      <c r="A3" t="s">
        <v>80</v>
      </c>
      <c r="B3" t="s">
        <v>231</v>
      </c>
      <c r="C3" t="s">
        <v>232</v>
      </c>
      <c r="D3" t="s">
        <v>233</v>
      </c>
      <c r="E3" s="4">
        <v>3100000</v>
      </c>
      <c r="F3" t="s">
        <v>234</v>
      </c>
      <c r="G3" s="5">
        <v>0.1</v>
      </c>
      <c r="H3" s="13">
        <v>265000</v>
      </c>
      <c r="I3" s="4">
        <v>52000000</v>
      </c>
      <c r="J3" s="13">
        <v>22000</v>
      </c>
      <c r="K3" s="13">
        <v>18500</v>
      </c>
      <c r="L3" s="13">
        <f>J3-K3</f>
        <v>3500</v>
      </c>
      <c r="M3" s="5">
        <f>K3/J3-1</f>
        <v>-0.15909090909090906</v>
      </c>
      <c r="N3" s="6">
        <v>6</v>
      </c>
      <c r="O3" s="4">
        <v>980000</v>
      </c>
      <c r="P3" s="6">
        <v>1</v>
      </c>
      <c r="Q3" s="11">
        <v>45444</v>
      </c>
      <c r="R3" s="11">
        <v>46341</v>
      </c>
    </row>
    <row r="4" spans="1:18">
      <c r="A4" t="s">
        <v>235</v>
      </c>
      <c r="B4" t="s">
        <v>227</v>
      </c>
      <c r="C4" t="s">
        <v>236</v>
      </c>
      <c r="D4" t="s">
        <v>237</v>
      </c>
      <c r="E4" s="4">
        <v>2800000</v>
      </c>
      <c r="F4" t="s">
        <v>230</v>
      </c>
      <c r="G4" s="5">
        <v>0.15</v>
      </c>
      <c r="H4" s="13">
        <v>210000</v>
      </c>
      <c r="I4" s="4">
        <v>44000000</v>
      </c>
      <c r="J4" s="13">
        <v>19000</v>
      </c>
      <c r="K4" s="13">
        <v>20100</v>
      </c>
      <c r="L4" s="13">
        <f>J4-K4</f>
        <v>-1100</v>
      </c>
      <c r="M4" s="5">
        <f>K4/J4-1</f>
        <v>5.7894736842105221E-2</v>
      </c>
      <c r="N4" s="6">
        <v>5</v>
      </c>
      <c r="O4" s="4">
        <v>870000</v>
      </c>
      <c r="P4" s="6">
        <v>4</v>
      </c>
      <c r="Q4" s="11">
        <v>44936</v>
      </c>
      <c r="R4" s="11">
        <v>46021</v>
      </c>
    </row>
    <row r="5" spans="1:18">
      <c r="A5" t="s">
        <v>238</v>
      </c>
      <c r="B5" t="s">
        <v>239</v>
      </c>
      <c r="C5" t="s">
        <v>240</v>
      </c>
      <c r="D5" t="s">
        <v>237</v>
      </c>
      <c r="E5" s="4">
        <v>3500000</v>
      </c>
      <c r="F5" t="s">
        <v>241</v>
      </c>
      <c r="G5" s="5">
        <v>0.1</v>
      </c>
      <c r="H5" s="13">
        <v>295000</v>
      </c>
      <c r="I5" s="4">
        <v>61000000</v>
      </c>
      <c r="J5" s="13">
        <v>24000</v>
      </c>
      <c r="K5" s="13">
        <v>23800</v>
      </c>
      <c r="L5" s="13">
        <f>J5-K5</f>
        <v>200</v>
      </c>
      <c r="M5" s="5">
        <f>K5/J5-1</f>
        <v>-8.3333333333333037E-3</v>
      </c>
      <c r="N5" s="6">
        <v>7</v>
      </c>
      <c r="O5" s="4">
        <v>1120000</v>
      </c>
      <c r="P5" s="6">
        <v>2</v>
      </c>
      <c r="Q5" s="11">
        <v>45005</v>
      </c>
      <c r="R5" s="11">
        <v>45915</v>
      </c>
    </row>
    <row r="6" spans="1:18">
      <c r="A6" t="s">
        <v>92</v>
      </c>
      <c r="B6" t="s">
        <v>227</v>
      </c>
      <c r="C6" t="s">
        <v>236</v>
      </c>
      <c r="D6" t="s">
        <v>242</v>
      </c>
      <c r="E6" s="4">
        <v>2400000</v>
      </c>
      <c r="F6" t="s">
        <v>230</v>
      </c>
      <c r="G6" s="5">
        <v>0.12</v>
      </c>
      <c r="H6" s="13">
        <v>225000</v>
      </c>
      <c r="I6" s="4">
        <v>47000000</v>
      </c>
      <c r="J6" s="13">
        <v>16000</v>
      </c>
      <c r="K6" s="13">
        <v>4200</v>
      </c>
      <c r="L6" s="13">
        <f>J6-K6</f>
        <v>11800</v>
      </c>
      <c r="M6" s="5">
        <f>K6/J6-1</f>
        <v>-0.73750000000000004</v>
      </c>
      <c r="N6" s="6">
        <v>4</v>
      </c>
      <c r="O6" s="4">
        <v>340000</v>
      </c>
      <c r="P6" s="6">
        <v>0</v>
      </c>
      <c r="Q6" s="11">
        <v>45901</v>
      </c>
      <c r="R6" s="11">
        <v>46813</v>
      </c>
    </row>
    <row r="7" spans="1:18">
      <c r="A7" t="s">
        <v>243</v>
      </c>
      <c r="B7" t="s">
        <v>231</v>
      </c>
      <c r="C7" t="s">
        <v>244</v>
      </c>
      <c r="D7" t="s">
        <v>233</v>
      </c>
      <c r="E7" s="4">
        <v>1800000</v>
      </c>
      <c r="F7" t="s">
        <v>234</v>
      </c>
      <c r="G7" s="5">
        <v>0.1</v>
      </c>
      <c r="H7" s="13">
        <v>142000</v>
      </c>
      <c r="I7" s="4">
        <v>29500000</v>
      </c>
      <c r="J7" s="13">
        <v>14000</v>
      </c>
      <c r="K7" s="13">
        <v>9800</v>
      </c>
      <c r="L7" s="13">
        <f>J7-K7</f>
        <v>4200</v>
      </c>
      <c r="M7" s="5">
        <f>K7/J7-1</f>
        <v>-0.30000000000000004</v>
      </c>
      <c r="N7" s="6">
        <v>4</v>
      </c>
      <c r="O7" s="4">
        <v>520000</v>
      </c>
      <c r="P7" s="6">
        <v>1</v>
      </c>
      <c r="Q7" s="11">
        <v>45597</v>
      </c>
      <c r="R7" s="11">
        <v>46402</v>
      </c>
    </row>
    <row r="8" spans="1:18">
      <c r="A8" t="s">
        <v>103</v>
      </c>
      <c r="B8" t="s">
        <v>245</v>
      </c>
      <c r="C8" t="s">
        <v>246</v>
      </c>
      <c r="D8" t="s">
        <v>242</v>
      </c>
      <c r="E8" s="4">
        <v>5600000</v>
      </c>
      <c r="F8" t="s">
        <v>230</v>
      </c>
      <c r="G8" s="5">
        <v>0.15</v>
      </c>
      <c r="H8" s="13">
        <v>410000</v>
      </c>
      <c r="I8" s="4">
        <v>125000000</v>
      </c>
      <c r="J8" s="13">
        <v>35000</v>
      </c>
      <c r="K8" s="13">
        <v>8900</v>
      </c>
      <c r="L8" s="13">
        <f>J8-K8</f>
        <v>26100</v>
      </c>
      <c r="M8" s="5">
        <f>K8/J8-1</f>
        <v>-0.74571428571428577</v>
      </c>
      <c r="N8" s="6">
        <v>6</v>
      </c>
      <c r="O8" s="4">
        <v>680000</v>
      </c>
      <c r="P8" s="6">
        <v>0</v>
      </c>
      <c r="Q8" s="11">
        <v>45823</v>
      </c>
      <c r="R8" s="11">
        <v>47119</v>
      </c>
    </row>
    <row r="9" spans="1:18">
      <c r="A9" t="s">
        <v>52</v>
      </c>
      <c r="B9" t="s">
        <v>227</v>
      </c>
      <c r="C9" t="s">
        <v>247</v>
      </c>
      <c r="D9" t="s">
        <v>233</v>
      </c>
      <c r="E9" s="4">
        <v>1950000</v>
      </c>
      <c r="F9" t="s">
        <v>241</v>
      </c>
      <c r="G9" s="5">
        <v>0.1</v>
      </c>
      <c r="H9" s="13">
        <v>168000</v>
      </c>
      <c r="I9" s="4">
        <v>34000000</v>
      </c>
      <c r="J9" s="13">
        <v>15000</v>
      </c>
      <c r="K9" s="13">
        <v>11200</v>
      </c>
      <c r="L9" s="13">
        <f>J9-K9</f>
        <v>3800</v>
      </c>
      <c r="M9" s="5">
        <f>K9/J9-1</f>
        <v>-0.2533333333333333</v>
      </c>
      <c r="N9" s="6">
        <v>5</v>
      </c>
      <c r="O9" s="4">
        <v>610000</v>
      </c>
      <c r="P9" s="6">
        <v>2</v>
      </c>
      <c r="Q9" s="11">
        <v>45505</v>
      </c>
      <c r="R9" s="11">
        <v>46478</v>
      </c>
    </row>
    <row r="10" spans="1:18">
      <c r="A10" t="s">
        <v>248</v>
      </c>
      <c r="B10" t="s">
        <v>249</v>
      </c>
      <c r="C10" t="s">
        <v>228</v>
      </c>
      <c r="D10" t="s">
        <v>237</v>
      </c>
      <c r="E10" s="4">
        <v>2200000</v>
      </c>
      <c r="F10" t="s">
        <v>230</v>
      </c>
      <c r="G10" s="5">
        <v>0.12</v>
      </c>
      <c r="H10" s="13">
        <v>88000</v>
      </c>
      <c r="I10" s="4">
        <v>22000000</v>
      </c>
      <c r="J10" s="13">
        <v>17000</v>
      </c>
      <c r="K10" s="13">
        <v>17600</v>
      </c>
      <c r="L10" s="13">
        <f>J10-K10</f>
        <v>-600</v>
      </c>
      <c r="M10" s="5">
        <f>K10/J10-1</f>
        <v>3.529411764705892E-2</v>
      </c>
      <c r="N10" s="6">
        <v>4</v>
      </c>
      <c r="O10" s="4">
        <v>540000</v>
      </c>
      <c r="P10" s="6">
        <v>1</v>
      </c>
      <c r="Q10" s="11">
        <v>44805</v>
      </c>
      <c r="R10" s="11">
        <v>45838</v>
      </c>
    </row>
    <row r="11" spans="1:18">
      <c r="A11" t="s">
        <v>109</v>
      </c>
      <c r="B11" t="s">
        <v>227</v>
      </c>
      <c r="C11" t="s">
        <v>232</v>
      </c>
      <c r="D11" t="s">
        <v>229</v>
      </c>
      <c r="E11" s="4">
        <v>3800000</v>
      </c>
      <c r="F11" t="s">
        <v>234</v>
      </c>
      <c r="G11" s="5">
        <v>0.12</v>
      </c>
      <c r="H11" s="13">
        <v>310000</v>
      </c>
      <c r="I11" s="4">
        <v>64000000</v>
      </c>
      <c r="J11" s="13">
        <v>26000</v>
      </c>
      <c r="K11" s="13">
        <v>24100</v>
      </c>
      <c r="L11" s="13">
        <f>J11-K11</f>
        <v>1900</v>
      </c>
      <c r="M11" s="5">
        <f>K11/J11-1</f>
        <v>-7.3076923076923039E-2</v>
      </c>
      <c r="N11" s="6">
        <v>7</v>
      </c>
      <c r="O11" s="4">
        <v>1280000</v>
      </c>
      <c r="P11" s="6">
        <v>2</v>
      </c>
      <c r="Q11" s="11">
        <v>45245</v>
      </c>
      <c r="R11" s="11">
        <v>46143</v>
      </c>
    </row>
    <row r="12" spans="1:18">
      <c r="A12" s="1" t="s">
        <v>9</v>
      </c>
      <c r="E12" s="7">
        <f>SUM(E2:E11)</f>
        <v>31350000</v>
      </c>
      <c r="F12" s="1"/>
      <c r="G12" s="1"/>
      <c r="H12" s="14">
        <f>SUM(H2:H11)</f>
        <v>2498000</v>
      </c>
      <c r="I12" s="7">
        <f>SUM(I2:I11)</f>
        <v>556500000</v>
      </c>
      <c r="J12" s="7">
        <f>SUM(J2:J11)</f>
        <v>216000</v>
      </c>
      <c r="K12" s="7">
        <f>SUM(K2:K11)</f>
        <v>169400</v>
      </c>
      <c r="L12" s="1"/>
      <c r="M12" s="1"/>
      <c r="N12" s="15">
        <f>SUM(N2:N11)</f>
        <v>56</v>
      </c>
      <c r="O12" s="7">
        <f>SUM(O2:O11)</f>
        <v>8390000</v>
      </c>
      <c r="P12" s="15">
        <f>SUM(P2:P11)</f>
        <v>16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DBF13-ECB9-44A7-BC84-C04DBB43CB03}">
  <dimension ref="A1:C14"/>
  <sheetViews>
    <sheetView workbookViewId="0"/>
  </sheetViews>
  <sheetFormatPr defaultRowHeight="15"/>
  <cols>
    <col min="1" max="1" width="45.7109375" customWidth="1"/>
    <col min="2" max="2" width="26.7109375" customWidth="1"/>
    <col min="3" max="3" width="53.28515625" customWidth="1"/>
  </cols>
  <sheetData>
    <row r="1" spans="1:3" ht="18.75">
      <c r="A1" s="16" t="s">
        <v>250</v>
      </c>
      <c r="B1" s="16" t="s">
        <v>251</v>
      </c>
      <c r="C1" s="16" t="s">
        <v>23</v>
      </c>
    </row>
    <row r="2" spans="1:3" ht="15.75">
      <c r="A2" s="1" t="s">
        <v>252</v>
      </c>
      <c r="B2" s="17">
        <f>SUM('Monthly Financials'!B2:B16)</f>
        <v>7505000</v>
      </c>
      <c r="C2" t="s">
        <v>253</v>
      </c>
    </row>
    <row r="3" spans="1:3" ht="15.75">
      <c r="A3" s="1" t="s">
        <v>254</v>
      </c>
      <c r="B3" s="17">
        <f>SUM('Monthly Financials'!C2:C16)</f>
        <v>6225000</v>
      </c>
      <c r="C3" t="s">
        <v>255</v>
      </c>
    </row>
    <row r="4" spans="1:3" ht="15.75">
      <c r="A4" s="1" t="s">
        <v>256</v>
      </c>
      <c r="B4" s="17">
        <f>SUM('Monthly Financials'!D2:D16)</f>
        <v>1280000</v>
      </c>
      <c r="C4" t="s">
        <v>257</v>
      </c>
    </row>
    <row r="5" spans="1:3" ht="15.75">
      <c r="A5" s="1" t="s">
        <v>258</v>
      </c>
      <c r="B5" s="17">
        <f>AVERAGE('Monthly Financials'!B2:B16)</f>
        <v>500333.33333333331</v>
      </c>
      <c r="C5" t="s">
        <v>259</v>
      </c>
    </row>
    <row r="6" spans="1:3" ht="15.75">
      <c r="A6" s="1" t="s">
        <v>260</v>
      </c>
      <c r="B6" s="18">
        <f>AVERAGE('Monthly Financials'!C2:C16)</f>
        <v>415000</v>
      </c>
      <c r="C6" t="s">
        <v>261</v>
      </c>
    </row>
    <row r="7" spans="1:3" ht="15.75">
      <c r="A7" s="1" t="s">
        <v>262</v>
      </c>
      <c r="B7" s="17">
        <f>AVERAGE('Monthly Financials'!E2:E16)</f>
        <v>0.16600747150433504</v>
      </c>
      <c r="C7" t="s">
        <v>263</v>
      </c>
    </row>
    <row r="8" spans="1:3" ht="15.75">
      <c r="A8" s="1" t="s">
        <v>264</v>
      </c>
      <c r="B8" s="17">
        <f>MAX('Monthly Financials'!B2:B16)</f>
        <v>595000</v>
      </c>
      <c r="C8" t="s">
        <v>265</v>
      </c>
    </row>
    <row r="9" spans="1:3" ht="15.75">
      <c r="A9" s="1" t="s">
        <v>266</v>
      </c>
      <c r="B9" s="17">
        <f>MIN('Monthly Financials'!B2:B16)</f>
        <v>415000</v>
      </c>
      <c r="C9" t="s">
        <v>267</v>
      </c>
    </row>
    <row r="10" spans="1:3" ht="15.75">
      <c r="A10" s="1" t="s">
        <v>268</v>
      </c>
      <c r="B10" s="19">
        <f>_xlfn.STDEV.P('Monthly Financials'!B2:B16)</f>
        <v>53773.186213535417</v>
      </c>
      <c r="C10" t="s">
        <v>269</v>
      </c>
    </row>
    <row r="11" spans="1:3" ht="15.75">
      <c r="A11" s="1" t="s">
        <v>270</v>
      </c>
      <c r="B11" s="19">
        <f>'Monthly Financials'!F16</f>
        <v>14</v>
      </c>
      <c r="C11" t="s">
        <v>271</v>
      </c>
    </row>
    <row r="12" spans="1:3" ht="15.75">
      <c r="A12" s="1" t="s">
        <v>272</v>
      </c>
      <c r="B12" s="19">
        <f>SUM('Monthly Financials'!G2:G16)</f>
        <v>27</v>
      </c>
      <c r="C12" t="s">
        <v>273</v>
      </c>
    </row>
    <row r="13" spans="1:3" ht="15.75">
      <c r="A13" s="1" t="s">
        <v>274</v>
      </c>
      <c r="B13" s="18">
        <f>'Monthly Financials'!H16</f>
        <v>28</v>
      </c>
      <c r="C13" t="s">
        <v>275</v>
      </c>
    </row>
    <row r="14" spans="1:3" ht="15.75">
      <c r="A14" s="1" t="s">
        <v>276</v>
      </c>
      <c r="B14" s="18">
        <f>AVERAGE('Monthly Financials'!I2:I16)</f>
        <v>0.76466666666666661</v>
      </c>
      <c r="C14" t="s">
        <v>277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B1DC6-D3AA-47FA-9746-C4776B1B41DD}">
  <dimension ref="A1:F18"/>
  <sheetViews>
    <sheetView workbookViewId="0"/>
  </sheetViews>
  <sheetFormatPr defaultRowHeight="15"/>
  <cols>
    <col min="1" max="1" width="45.7109375" customWidth="1"/>
    <col min="2" max="2" width="26.7109375" customWidth="1"/>
    <col min="3" max="3" width="53.28515625" customWidth="1"/>
  </cols>
  <sheetData>
    <row r="1" spans="1:6" ht="18.75">
      <c r="A1" s="20" t="s">
        <v>250</v>
      </c>
      <c r="B1" s="20" t="s">
        <v>251</v>
      </c>
      <c r="C1" s="20" t="s">
        <v>23</v>
      </c>
      <c r="E1" s="1" t="s">
        <v>213</v>
      </c>
      <c r="F1" s="1" t="s">
        <v>278</v>
      </c>
    </row>
    <row r="2" spans="1:6" ht="15.75">
      <c r="A2" s="1" t="s">
        <v>279</v>
      </c>
      <c r="B2" s="17">
        <f>SUM('Project Portfolio'!E2:E11)</f>
        <v>31350000</v>
      </c>
      <c r="C2" t="s">
        <v>280</v>
      </c>
      <c r="E2" t="s">
        <v>242</v>
      </c>
      <c r="F2">
        <f>COUNTIF('Project Portfolio'!D2:D11,"SD")</f>
        <v>2</v>
      </c>
    </row>
    <row r="3" spans="1:6" ht="15.75">
      <c r="A3" s="1" t="s">
        <v>281</v>
      </c>
      <c r="B3" s="17">
        <f>AVERAGE('Project Portfolio'!E2:E11)</f>
        <v>3135000</v>
      </c>
      <c r="C3" t="s">
        <v>282</v>
      </c>
      <c r="E3" t="s">
        <v>233</v>
      </c>
      <c r="F3">
        <f>COUNTIF('Project Portfolio'!D2:D11,"DD")</f>
        <v>3</v>
      </c>
    </row>
    <row r="4" spans="1:6" ht="15.75">
      <c r="A4" s="1" t="s">
        <v>283</v>
      </c>
      <c r="B4" s="17">
        <f>MAX('Project Portfolio'!E2:E11)</f>
        <v>5600000</v>
      </c>
      <c r="C4" t="s">
        <v>284</v>
      </c>
      <c r="E4" t="s">
        <v>229</v>
      </c>
      <c r="F4">
        <f>COUNTIF('Project Portfolio'!D2:D11,"CD")</f>
        <v>2</v>
      </c>
    </row>
    <row r="5" spans="1:6" ht="15.75">
      <c r="A5" s="1" t="s">
        <v>285</v>
      </c>
      <c r="B5" s="17">
        <f>SUM('Project Portfolio'!I2:I11)</f>
        <v>556500000</v>
      </c>
      <c r="C5" t="s">
        <v>286</v>
      </c>
      <c r="E5" t="s">
        <v>237</v>
      </c>
      <c r="F5">
        <f>COUNTIF('Project Portfolio'!D2:D11,"CA")</f>
        <v>3</v>
      </c>
    </row>
    <row r="6" spans="1:6" ht="15.75">
      <c r="A6" s="1" t="s">
        <v>287</v>
      </c>
      <c r="B6" s="21">
        <f>SUM('Project Portfolio'!H2:H11)</f>
        <v>2498000</v>
      </c>
      <c r="C6" t="s">
        <v>288</v>
      </c>
    </row>
    <row r="7" spans="1:6" ht="15.75">
      <c r="A7" s="1" t="s">
        <v>289</v>
      </c>
      <c r="B7" s="21">
        <f>AVERAGE('Project Portfolio'!H2:H11)</f>
        <v>249800</v>
      </c>
      <c r="C7" t="s">
        <v>290</v>
      </c>
    </row>
    <row r="8" spans="1:6" ht="15.75">
      <c r="A8" s="1" t="s">
        <v>291</v>
      </c>
      <c r="B8" s="21">
        <f>SUM('Project Portfolio'!J2:J11)</f>
        <v>216000</v>
      </c>
      <c r="C8" t="s">
        <v>292</v>
      </c>
    </row>
    <row r="9" spans="1:6" ht="15.75">
      <c r="A9" s="1" t="s">
        <v>293</v>
      </c>
      <c r="B9" s="18">
        <f>SUM('Project Portfolio'!K2:K11)</f>
        <v>169400</v>
      </c>
      <c r="C9" t="s">
        <v>294</v>
      </c>
    </row>
    <row r="10" spans="1:6" ht="15.75">
      <c r="A10" s="1" t="s">
        <v>295</v>
      </c>
      <c r="B10" s="19">
        <f>SUM('Project Portfolio'!K2:K11)/SUM('Project Portfolio'!J2:J11)-1</f>
        <v>-0.21574074074074079</v>
      </c>
      <c r="C10" t="s">
        <v>296</v>
      </c>
    </row>
    <row r="11" spans="1:6" ht="15.75">
      <c r="A11" s="1" t="s">
        <v>297</v>
      </c>
      <c r="B11" s="17">
        <f>SUM('Project Portfolio'!N2:N11)</f>
        <v>56</v>
      </c>
      <c r="C11" t="s">
        <v>298</v>
      </c>
    </row>
    <row r="12" spans="1:6" ht="15.75">
      <c r="A12" s="1" t="s">
        <v>299</v>
      </c>
      <c r="B12" s="19">
        <f>SUM('Project Portfolio'!O2:O11)</f>
        <v>8390000</v>
      </c>
      <c r="C12" t="s">
        <v>300</v>
      </c>
    </row>
    <row r="13" spans="1:6" ht="15.75">
      <c r="A13" s="1" t="s">
        <v>301</v>
      </c>
      <c r="B13" s="19">
        <f>SUM('Project Portfolio'!P2:P11)</f>
        <v>16</v>
      </c>
      <c r="C13" t="s">
        <v>302</v>
      </c>
    </row>
    <row r="14" spans="1:6" ht="15.75">
      <c r="A14" s="1" t="s">
        <v>303</v>
      </c>
      <c r="B14" s="19">
        <f>COUNTIF('Project Portfolio'!D2:D11,"SD")</f>
        <v>2</v>
      </c>
      <c r="C14" t="s">
        <v>304</v>
      </c>
    </row>
    <row r="15" spans="1:6" ht="15.75">
      <c r="A15" s="1" t="s">
        <v>305</v>
      </c>
      <c r="B15" s="19">
        <f>COUNTIF('Project Portfolio'!D2:D11,"DD")</f>
        <v>3</v>
      </c>
      <c r="C15" t="s">
        <v>306</v>
      </c>
    </row>
    <row r="16" spans="1:6" ht="15.75">
      <c r="A16" s="1" t="s">
        <v>307</v>
      </c>
      <c r="B16" s="19">
        <f>COUNTIF('Project Portfolio'!D2:D11,"CD")</f>
        <v>2</v>
      </c>
      <c r="C16" t="s">
        <v>308</v>
      </c>
    </row>
    <row r="17" spans="1:3" ht="15.75">
      <c r="A17" s="1" t="s">
        <v>309</v>
      </c>
      <c r="B17" s="19">
        <f>COUNTIF('Project Portfolio'!D2:D11,"CA")</f>
        <v>3</v>
      </c>
      <c r="C17" t="s">
        <v>310</v>
      </c>
    </row>
    <row r="18" spans="1:3" ht="15.75">
      <c r="A18" s="1" t="s">
        <v>311</v>
      </c>
      <c r="B18" s="19">
        <f>COUNTIF('Project Portfolio'!M2:M11,"&gt;0")</f>
        <v>3</v>
      </c>
      <c r="C18" t="s">
        <v>312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9AD5F-37B1-48DA-9FA8-18116465A44C}">
  <dimension ref="A1:B4"/>
  <sheetViews>
    <sheetView workbookViewId="0"/>
  </sheetViews>
  <sheetFormatPr defaultRowHeight="15"/>
  <cols>
    <col min="1" max="2" width="57.140625" customWidth="1"/>
  </cols>
  <sheetData>
    <row r="1" spans="1:2" ht="18.75">
      <c r="A1" s="22" t="s">
        <v>313</v>
      </c>
      <c r="B1" s="22" t="s">
        <v>314</v>
      </c>
    </row>
    <row r="2" spans="1:2">
      <c r="A2" t="s">
        <v>315</v>
      </c>
      <c r="B2" s="23" t="s">
        <v>316</v>
      </c>
    </row>
    <row r="3" spans="1:2">
      <c r="A3" t="s">
        <v>317</v>
      </c>
      <c r="B3" s="23" t="s">
        <v>318</v>
      </c>
    </row>
    <row r="4" spans="1:2">
      <c r="A4" t="s">
        <v>319</v>
      </c>
      <c r="B4" s="23" t="s">
        <v>320</v>
      </c>
    </row>
  </sheetData>
  <hyperlinks>
    <hyperlink ref="B2" r:id="rId1" xr:uid="{9EACE8BF-9EFE-4691-B6F5-8972115E9212}"/>
    <hyperlink ref="B3" r:id="rId2" xr:uid="{CE462331-1597-49F5-8913-28D662939611}"/>
    <hyperlink ref="B4" r:id="rId3" xr:uid="{29E19D4E-DFB0-4857-82DB-E53AB82BFA2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>Noam Maeir</cp:lastModifiedBy>
  <cp:revision/>
  <dcterms:created xsi:type="dcterms:W3CDTF">2026-04-17T11:27:48Z</dcterms:created>
  <dcterms:modified xsi:type="dcterms:W3CDTF">2026-04-17T11:28:35Z</dcterms:modified>
  <cp:category/>
  <cp:contentStatus/>
</cp:coreProperties>
</file>